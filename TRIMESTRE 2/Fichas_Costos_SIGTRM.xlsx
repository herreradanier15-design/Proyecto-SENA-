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AC19279E-B8F9-F540-B2D9-E28DE19E4E21}" xr6:coauthVersionLast="47" xr6:coauthVersionMax="47" xr10:uidLastSave="{00000000-0000-0000-0000-000000000000}"/>
  <bookViews>
    <workbookView xWindow="0" yWindow="0" windowWidth="16384" windowHeight="8192" tabRatio="500" activeTab="1" xr2:uid="{00000000-000D-0000-FFFF-FFFF00000000}"/>
  </bookViews>
  <sheets>
    <sheet name="0. Módulos Sistema" sheetId="1" r:id="rId1"/>
    <sheet name="1. Hardware" sheetId="2" r:id="rId2"/>
    <sheet name="2. Software" sheetId="3" r:id="rId3"/>
    <sheet name="3. Arquitectura Red" sheetId="4" r:id="rId4"/>
    <sheet name="4. Recurso Humano" sheetId="5" r:id="rId5"/>
    <sheet name="5. Comparativo Proveedores" sheetId="6" r:id="rId6"/>
    <sheet name="6. Costo Total Proyecto" sheetId="7" r:id="rId7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E5" i="7"/>
  <c r="F10" i="2"/>
  <c r="F11" i="2"/>
  <c r="F12" i="2"/>
  <c r="F13" i="2"/>
  <c r="F14" i="2"/>
  <c r="E6" i="7"/>
  <c r="E7" i="7"/>
  <c r="G5" i="3"/>
  <c r="G6" i="3"/>
  <c r="G7" i="3"/>
  <c r="G8" i="3"/>
  <c r="G9" i="3"/>
  <c r="G10" i="3"/>
  <c r="G11" i="3"/>
  <c r="G12" i="3"/>
  <c r="G13" i="3"/>
  <c r="G14" i="3"/>
  <c r="G15" i="3"/>
  <c r="G16" i="3"/>
  <c r="G18" i="3"/>
  <c r="G19" i="3"/>
  <c r="G20" i="3"/>
  <c r="G21" i="3"/>
  <c r="G22" i="3"/>
  <c r="G23" i="3"/>
  <c r="G24" i="3"/>
  <c r="G25" i="3"/>
  <c r="E9" i="7"/>
  <c r="F5" i="4"/>
  <c r="F6" i="4"/>
  <c r="E11" i="7"/>
  <c r="G5" i="5"/>
  <c r="E13" i="7"/>
  <c r="G6" i="5"/>
  <c r="E14" i="7"/>
  <c r="G7" i="5"/>
  <c r="E15" i="7"/>
  <c r="E16" i="7"/>
  <c r="E18" i="7"/>
  <c r="G8" i="5"/>
  <c r="F15" i="2"/>
</calcChain>
</file>

<file path=xl/sharedStrings.xml><?xml version="1.0" encoding="utf-8"?>
<sst xmlns="http://schemas.openxmlformats.org/spreadsheetml/2006/main" count="387" uniqueCount="284">
  <si>
    <t>FICHA TÉCNICA – MÓDULOS DEL SISTEMA  |  SIGTRM – La Caqueteña</t>
  </si>
  <si>
    <t>Proyecto: Sistema Inteligente de Gestión para Taller de Reparación de Muebles  |  Fecha: Junio 2026</t>
  </si>
  <si>
    <t>Código</t>
  </si>
  <si>
    <t>Módulo</t>
  </si>
  <si>
    <t>Descripción</t>
  </si>
  <si>
    <t>Funciones Principales</t>
  </si>
  <si>
    <t>Usuarios con Acceso</t>
  </si>
  <si>
    <t>Prioridad</t>
  </si>
  <si>
    <t>GU</t>
  </si>
  <si>
    <t>Gestión de Usuarios</t>
  </si>
  <si>
    <t>Administración de perfiles, roles y seguridad.</t>
  </si>
  <si>
    <t>Crear/editar/eliminar usuarios · Asignar roles · Bloqueo por intentos fallidos · Bitácora</t>
  </si>
  <si>
    <t>Rep. Legal, Administrador</t>
  </si>
  <si>
    <t>Alta</t>
  </si>
  <si>
    <t>MUE</t>
  </si>
  <si>
    <t>Registro de Muebles</t>
  </si>
  <si>
    <t>Registro digital de muebles entrantes con categorización.</t>
  </si>
  <si>
    <t>Registro con fotos · Categorización · Vinculación a cliente y orden</t>
  </si>
  <si>
    <t>Administrador, Reparador</t>
  </si>
  <si>
    <t>INV</t>
  </si>
  <si>
    <t>Control de Inventario</t>
  </si>
  <si>
    <t>Catálogo digital de materiales e insumos.</t>
  </si>
  <si>
    <t>Registro de insumos · Descuento automático · Alertas de stock bajo</t>
  </si>
  <si>
    <t>Administrador, Logística</t>
  </si>
  <si>
    <t>NOT</t>
  </si>
  <si>
    <t>Notificaciones</t>
  </si>
  <si>
    <t>Sistema de alertas internas y notificaciones al cliente.</t>
  </si>
  <si>
    <t>Correo automático al cliente · Alertas por demora · Integración SendGrid</t>
  </si>
  <si>
    <t>Todos los roles</t>
  </si>
  <si>
    <t>Media</t>
  </si>
  <si>
    <t>REP</t>
  </si>
  <si>
    <t>Reportes y Analítica</t>
  </si>
  <si>
    <t>Generación de informes operativos y tablero KPI.</t>
  </si>
  <si>
    <t>Tablero con muebles activos · Tiempo prom. de reparación · Exportación PDF/Excel</t>
  </si>
  <si>
    <t>CLI</t>
  </si>
  <si>
    <t>Gestión de Clientes</t>
  </si>
  <si>
    <t>Registro y consulta de clientes con historial.</t>
  </si>
  <si>
    <t>Crear/editar clientes · Historial de muebles · Búsqueda rápida</t>
  </si>
  <si>
    <t>Administrador</t>
  </si>
  <si>
    <t>ORD</t>
  </si>
  <si>
    <t>Órdenes de Trabajo</t>
  </si>
  <si>
    <t>Seguimiento de 6 etapas del proceso productivo.</t>
  </si>
  <si>
    <t>Crear orden · Trazabilidad Recepción→Diagnóstico→Reparación→Inspección→Listo→Entregado · Tiempos</t>
  </si>
  <si>
    <t>FICHA TÉCNICA – HARDWARE  |  SIGTRM – La Caqueteña</t>
  </si>
  <si>
    <t>Aprendices SENA – Tecnólogo Desarrollo de Software  |  Fecha: Junio 2026</t>
  </si>
  <si>
    <t>#</t>
  </si>
  <si>
    <t>Componente</t>
  </si>
  <si>
    <t>Descripción / Especificación</t>
  </si>
  <si>
    <t>Cantidad</t>
  </si>
  <si>
    <t>Costo Unit. (COP)</t>
  </si>
  <si>
    <t>Costo Total (COP)</t>
  </si>
  <si>
    <t>Tipo</t>
  </si>
  <si>
    <t>Notas</t>
  </si>
  <si>
    <t>Enlace Ktronix</t>
  </si>
  <si>
    <t>A. Equipos de Desarrollo (3 aprendices – 3 portátiles)</t>
  </si>
  <si>
    <t>Laptop Lenovo IdeaPad 3</t>
  </si>
  <si>
    <t>AMD Ryzen 5 / 8 GB RAM / SSD 512 GB – uso desarrollo web y bases de datos</t>
  </si>
  <si>
    <t>CAPEX</t>
  </si>
  <si>
    <t>Costo único – adquisición</t>
  </si>
  <si>
    <t>https://www.ktronix.com/computadores-tablet/computadores-portatiles/c/BI_104_KTRON</t>
  </si>
  <si>
    <t>Mouse inalámbrico</t>
  </si>
  <si>
    <t>Periférico USB inalámbrico – uno por aprendiz</t>
  </si>
  <si>
    <t>https://www.ktronix.com/accesorios-electronica/accesorios-computadores/perifericos/c/BI_0190_KTRON</t>
  </si>
  <si>
    <t>Maletín / Morral portátil</t>
  </si>
  <si>
    <t>Protección para cada portátil</t>
  </si>
  <si>
    <t>https://www.ktronix.com/accesorios-electronica/accesorios-computadores/maletines-morrales-fundas/c/BI_0130_KTRON</t>
  </si>
  <si>
    <t>SUBTOTAL – Equipos de Desarrollo</t>
  </si>
  <si>
    <t>B. Infraestructura de Red – Taller (arquitectura cloud – sin servidor local)</t>
  </si>
  <si>
    <t>Router WiFi 5 TP-Link</t>
  </si>
  <si>
    <t>Doble banda – cubre área del taller</t>
  </si>
  <si>
    <t>https://www.ktronix.com/casa-inteligente-domotica/redes-wifi/c/BI_142_KTRON</t>
  </si>
  <si>
    <t>Switch 8 puertos</t>
  </si>
  <si>
    <t>Fast Ethernet – cableado interno taller</t>
  </si>
  <si>
    <t>https://www.ktronix.com/casa-inteligente-domotica/redes-wifi/switches-red/c/BI_5006_KTRON</t>
  </si>
  <si>
    <t>Cable UTP Cat 5e</t>
  </si>
  <si>
    <t>Rollo 50 m + accesorios RJ45</t>
  </si>
  <si>
    <t>https://www.ktronix.com/accesorios-electronica/c/BI_AELE_KTRON</t>
  </si>
  <si>
    <t>UPS 600 VA</t>
  </si>
  <si>
    <t>Protección eléctrica para equipos del taller</t>
  </si>
  <si>
    <t>https://www.ktronix.com/accesorios-electronica/reguladores-voltaje-ups-multitomas/c/BI_146_KTRON</t>
  </si>
  <si>
    <t>SUBTOTAL – Infraestructura Red Taller</t>
  </si>
  <si>
    <t>TOTAL HARDWARE</t>
  </si>
  <si>
    <t>Fuente precios: Ktronix.com – Junio 2026  |  Precios sujetos a variación.</t>
  </si>
  <si>
    <t>FICHA TÉCNICA – SOFTWARE Y LICENCIAS  |  SIGTRM – La Caqueteña</t>
  </si>
  <si>
    <t>Herramientas conocidas por aprendices SENA – Junio 2026</t>
  </si>
  <si>
    <t>Software / Servicio</t>
  </si>
  <si>
    <t>Tipo Costo</t>
  </si>
  <si>
    <t>Costo/mes (COP)</t>
  </si>
  <si>
    <t>Meses</t>
  </si>
  <si>
    <t>A. Herramientas de Desarrollo – Open Source / Gratuito</t>
  </si>
  <si>
    <t>NetBeans IDE</t>
  </si>
  <si>
    <t>IDE principal para desarrollo Java. Open source – Apache.</t>
  </si>
  <si>
    <t>Gratis</t>
  </si>
  <si>
    <t>Visual Studio Code</t>
  </si>
  <si>
    <t>Editor de código liviano. Open source – Microsoft.</t>
  </si>
  <si>
    <t>MySQL Community</t>
  </si>
  <si>
    <t>Motor de base de datos relacional. Gratuito – Oracle.</t>
  </si>
  <si>
    <t>MySQL Workbench</t>
  </si>
  <si>
    <t>Herramienta visual de administración de MySQL. Gratuita.</t>
  </si>
  <si>
    <t>Git + GitHub Free</t>
  </si>
  <si>
    <t>Control de versiones + repo privado (plan gratuito).</t>
  </si>
  <si>
    <t>Visual Paradigm CE</t>
  </si>
  <si>
    <t>Modelado UML, diagramas ER y de casos de uso. Ed. Community.</t>
  </si>
  <si>
    <t>Postman Free</t>
  </si>
  <si>
    <t>Pruebas y documentación de API REST.</t>
  </si>
  <si>
    <t>Figma Free</t>
  </si>
  <si>
    <t>Diseño mockups UI/UX – hasta 3 proyectos.</t>
  </si>
  <si>
    <t>Draw.io / Diagrams.net</t>
  </si>
  <si>
    <t>Diagramas de arquitectura, BD y flujos. 100% gratuito.</t>
  </si>
  <si>
    <t>Trello Free</t>
  </si>
  <si>
    <t>Gestión ágil de tareas del equipo.</t>
  </si>
  <si>
    <t>XAMPP</t>
  </si>
  <si>
    <t>Servidor local Apache + MySQL + PHP para pruebas.</t>
  </si>
  <si>
    <t>SUBTOTAL – Stack Open Source / Gratuito</t>
  </si>
  <si>
    <t>B. Servicios en la Nube – Despliegue y Operación (18 meses)</t>
  </si>
  <si>
    <t>Railway (hosting backend)</t>
  </si>
  <si>
    <t>Plan Starter gratuito – 500 h/mes + 1 GB RAM. Suficiente para proyecto SENA.</t>
  </si>
  <si>
    <t>Vercel (frontend)</t>
  </si>
  <si>
    <t>Hosting frontend React / Next.js. Plan hobby 100% gratuito.</t>
  </si>
  <si>
    <t>Neon / Supabase (PostgreSQL cloud)</t>
  </si>
  <si>
    <t>Base de datos PostgreSQL gratuita en nube – 512 MB incluidos.</t>
  </si>
  <si>
    <t>Cloudinary Free</t>
  </si>
  <si>
    <t>Almacenamiento de fotos de muebles. 25 GB gratis.</t>
  </si>
  <si>
    <t>Brevo / SendGrid Free</t>
  </si>
  <si>
    <t>Notificaciones automáticas al cliente. 300 emails/día gratis.</t>
  </si>
  <si>
    <t>GitHub Actions (CI/CD)</t>
  </si>
  <si>
    <t>Automatización de despliegues. 2 000 min/mes gratis.</t>
  </si>
  <si>
    <t>SUBTOTAL – Servicios Cloud Gratuitos</t>
  </si>
  <si>
    <t>TOTAL SOFTWARE Y SERVICIOS (18 meses)</t>
  </si>
  <si>
    <t>Nota: Todo el software es open-source / gratuito. Sin licencias comerciales. Costo total = $0.</t>
  </si>
  <si>
    <t>FICHA TÉCNICA – ARQUITECTURA DE RED  |  SIGTRM – La Caqueteña</t>
  </si>
  <si>
    <t>Arquitectura: Cloud-first (sin servidor local)  |  Junio 2026</t>
  </si>
  <si>
    <t>A. Conectividad Taller</t>
  </si>
  <si>
    <t>Internet banda ancha taller</t>
  </si>
  <si>
    <t>Plan ~50 Mbps – operador local / ETB / Claro Colombia. Conecta los 3 portátiles.</t>
  </si>
  <si>
    <t>TOTAL RED Y CONECTIVIDAD (18 meses)</t>
  </si>
  <si>
    <t>DIAGRAMA DE ARQUITECTURA (descripción)</t>
  </si>
  <si>
    <t>Capa Cliente</t>
  </si>
  <si>
    <t>Navegador web en los 3 portátiles Lenovo + dispositivos del taller → WiFi Router</t>
  </si>
  <si>
    <t>Capa Presentación</t>
  </si>
  <si>
    <t>Frontend React.js → Vercel (CDN global, HTTPS)</t>
  </si>
  <si>
    <t>Capa Lógica</t>
  </si>
  <si>
    <t>Backend Node.js + Express → Railway (contenedor Docker)</t>
  </si>
  <si>
    <t>Capa Datos</t>
  </si>
  <si>
    <t>PostgreSQL en Neon.tech (cloud) – backups automáticos diarios</t>
  </si>
  <si>
    <t>Almacenamiento Fotos</t>
  </si>
  <si>
    <t>Cloudinary Free – imágenes de muebles (25 GB)</t>
  </si>
  <si>
    <t>Brevo/SendGrid – correos automáticos al cliente</t>
  </si>
  <si>
    <t>CI/CD</t>
  </si>
  <si>
    <t>GitHub Actions → despliegue automático en push a rama main</t>
  </si>
  <si>
    <t>FICHA TÉCNICA – RECURSO HUMANO  |  SIGTRM – La Caqueteña</t>
  </si>
  <si>
    <t>Proyecto: SIGTRM  |  Duración: 18 meses  |  Equipo: 3 aprendices SENA  |  SMMLV 2026: $1.750.905</t>
  </si>
  <si>
    <t>Nombre</t>
  </si>
  <si>
    <t>Rol en el Proyecto</t>
  </si>
  <si>
    <t>Modalidad</t>
  </si>
  <si>
    <t>Apoyo mensual (COP)</t>
  </si>
  <si>
    <t>Base legal</t>
  </si>
  <si>
    <t>Equipo de Desarrollo – Aprendices SENA Tecnólogo (Etapa Productiva 2026 – Ley 2466/2025)</t>
  </si>
  <si>
    <t>Danier F. Herrera C.</t>
  </si>
  <si>
    <t>Líder de Proyecto / Full-Stack Developer</t>
  </si>
  <si>
    <t>Contrato aprendizaje SENA</t>
  </si>
  <si>
    <t>Ley 2466/2025 – 100% SMMLV etapa productiva</t>
  </si>
  <si>
    <t>Eydy Y. Bobadilla C.</t>
  </si>
  <si>
    <t>Frontend Developer / Diseño UX-UI</t>
  </si>
  <si>
    <t>Jhoan S. Martínez G.</t>
  </si>
  <si>
    <t>Backend Developer / Base de Datos</t>
  </si>
  <si>
    <t>TOTAL RECURSO HUMANO (18 meses)</t>
  </si>
  <si>
    <t>Referencia de remuneración – Aprendices SENA 2026 (Ley 2466 de 2025)</t>
  </si>
  <si>
    <t>Etapa lectiva (teórica)</t>
  </si>
  <si>
    <t>75% del SMMLV</t>
  </si>
  <si>
    <t>$1.313.179 / mes</t>
  </si>
  <si>
    <t>Etapa productiva (práctica)</t>
  </si>
  <si>
    <t>100% del SMMLV</t>
  </si>
  <si>
    <t>$1.750.905 / mes ← Valor usado en esta ficha</t>
  </si>
  <si>
    <t>SMMLV 2026</t>
  </si>
  <si>
    <t>Decreto 1469 de 2025</t>
  </si>
  <si>
    <t>$1.750.905</t>
  </si>
  <si>
    <t>Auxilio de transporte 2026</t>
  </si>
  <si>
    <t>$162.000 (adicional)</t>
  </si>
  <si>
    <t>ANÁLISIS COMPARATIVO DE PROVEEDORES  |  SIGTRM – La Caqueteña</t>
  </si>
  <si>
    <t>Criterios: Costo, Specs, Garantía, Disponibilidad Colombia  |  Fuente: Ktronix.com – Junio 2026</t>
  </si>
  <si>
    <t>1. LAPTOPS DE DESARROLLO – Comparativo 3 modelos (Ktronix.com)</t>
  </si>
  <si>
    <t>Marca/Modelo</t>
  </si>
  <si>
    <t>Procesador</t>
  </si>
  <si>
    <t>RAM</t>
  </si>
  <si>
    <t>Almacenamiento</t>
  </si>
  <si>
    <t>Garantía</t>
  </si>
  <si>
    <t>Precio COP</t>
  </si>
  <si>
    <t>Disponibilidad</t>
  </si>
  <si>
    <t>¿Seleccionado?</t>
  </si>
  <si>
    <t>Lenovo IdeaPad 3 15ALC6</t>
  </si>
  <si>
    <t>AMD Ryzen 5 5500U</t>
  </si>
  <si>
    <t>8 GB DDR4</t>
  </si>
  <si>
    <t>SSD 512 GB NVMe</t>
  </si>
  <si>
    <t>1 año</t>
  </si>
  <si>
    <t>Ktronix, Éxito</t>
  </si>
  <si>
    <t>✅ SÍ – mejor precio/specs</t>
  </si>
  <si>
    <t>ASUS VivoBook 15</t>
  </si>
  <si>
    <t>Intel Core i3-1215U</t>
  </si>
  <si>
    <t>SSD 256 GB</t>
  </si>
  <si>
    <t>Ktronix, Falabella</t>
  </si>
  <si>
    <t>❌ No – almacenamiento bajo</t>
  </si>
  <si>
    <t>HP Laptop 15-fd</t>
  </si>
  <si>
    <t>Intel Core i5-1235U</t>
  </si>
  <si>
    <t>SSD 512 GB</t>
  </si>
  <si>
    <t>Ktronix, HP Store CO</t>
  </si>
  <si>
    <t>❌ No – precio más alto</t>
  </si>
  <si>
    <t>→ Selección: Lenovo IdeaPad 3 – mejor relación costo/especificación. Ryzen 5 maneja Docker, Node.js y MySQL simultáneamente.</t>
  </si>
  <si>
    <t>2. ROUTER WIFI – Comparativo 3 modelos (Ktronix.com)</t>
  </si>
  <si>
    <t>Estándar</t>
  </si>
  <si>
    <t>Bandas</t>
  </si>
  <si>
    <t>Velocidad</t>
  </si>
  <si>
    <t>TP-Link TL-WR840N</t>
  </si>
  <si>
    <t>WiFi 4 (N)</t>
  </si>
  <si>
    <t>2.4 GHz</t>
  </si>
  <si>
    <t>300 Mbps</t>
  </si>
  <si>
    <t>Ktronix</t>
  </si>
  <si>
    <t>✅ SÍ – suficiente para 3 PC</t>
  </si>
  <si>
    <t>TP-Link Archer AX23</t>
  </si>
  <si>
    <t>WiFi 6</t>
  </si>
  <si>
    <t>Dual band</t>
  </si>
  <si>
    <t>1201 Mbps</t>
  </si>
  <si>
    <t>❌ No – sobrepasa necesidad</t>
  </si>
  <si>
    <t>D-Link DIR-825</t>
  </si>
  <si>
    <t>WiFi 5 (AC)</t>
  </si>
  <si>
    <t>1200 Mbps</t>
  </si>
  <si>
    <t>❌ No – precio mayor por specs</t>
  </si>
  <si>
    <t>→ Selección: TP-Link TL-WR840N – económico, estable y suficiente para el volumen de 3 portátiles + tablets del taller.</t>
  </si>
  <si>
    <t>3. UPS / REGULADOR – Comparativo 3 modelos</t>
  </si>
  <si>
    <t>Capacidad</t>
  </si>
  <si>
    <t>Tomas</t>
  </si>
  <si>
    <t>Autonomía</t>
  </si>
  <si>
    <t>Forza Power FX-751</t>
  </si>
  <si>
    <t>750 VA / 375 W</t>
  </si>
  <si>
    <t>6 tomas</t>
  </si>
  <si>
    <t>~10 min PC</t>
  </si>
  <si>
    <t>✅ SÍ – precio justo</t>
  </si>
  <si>
    <t>APC BVX700</t>
  </si>
  <si>
    <t>700 VA / 390 W</t>
  </si>
  <si>
    <t>~8 min PC</t>
  </si>
  <si>
    <t>2 años</t>
  </si>
  <si>
    <t>Éxito, APC Store</t>
  </si>
  <si>
    <t>❌ No – precio mayor</t>
  </si>
  <si>
    <t>Regulador SL 1200 VA</t>
  </si>
  <si>
    <t>1200 VA</t>
  </si>
  <si>
    <t>8 tomas</t>
  </si>
  <si>
    <t>Solo regulación</t>
  </si>
  <si>
    <t>Ferretería / Éxito</t>
  </si>
  <si>
    <t>❌ No – sin batería UPS</t>
  </si>
  <si>
    <t>ESTIMACIÓN DE COSTO TOTAL  |  SIGTRM – Taller La Caqueteña</t>
  </si>
  <si>
    <t>Sistema Inteligente de Gestión  |  Duración: 18 meses  |  Equipo: 3 aprendices SENA</t>
  </si>
  <si>
    <t>Categoría</t>
  </si>
  <si>
    <t>Componente / Descripción</t>
  </si>
  <si>
    <t>Período</t>
  </si>
  <si>
    <t>Costo (COP)</t>
  </si>
  <si>
    <t>1. HARDWARE</t>
  </si>
  <si>
    <t>Hardware</t>
  </si>
  <si>
    <t>3 Laptops Lenovo IdeaPad 3 (Ktronix) + mouse x3 + maletines x3</t>
  </si>
  <si>
    <t>Único</t>
  </si>
  <si>
    <t>Infraestructura red taller (router, switch, cable UTP, UPS)</t>
  </si>
  <si>
    <t>SUBTOTAL HARDWARE</t>
  </si>
  <si>
    <t>2. SOFTWARE Y LICENCIAS</t>
  </si>
  <si>
    <t>Software</t>
  </si>
  <si>
    <t>Stack open source + cloud gratuito (NetBeans, VS Code, MySQL, GitHub, etc.)</t>
  </si>
  <si>
    <t>18 meses</t>
  </si>
  <si>
    <t>3. CONECTIVIDAD</t>
  </si>
  <si>
    <t>Red / Internet</t>
  </si>
  <si>
    <t>Internet ~50 Mbps – taller ($65.000/mes × 18 meses)</t>
  </si>
  <si>
    <t>OPEX</t>
  </si>
  <si>
    <t>4. RECURSO HUMANO</t>
  </si>
  <si>
    <t>Recurso Humano</t>
  </si>
  <si>
    <t>Aprendiz 1 – Líder / Full-Stack  (etapa productiva × 18 meses × $1.750.905)</t>
  </si>
  <si>
    <t>Aprendiz SENA</t>
  </si>
  <si>
    <t>Aprendiz 2 – Frontend / UX-UI  (etapa productiva × 18 meses × $1.750.905)</t>
  </si>
  <si>
    <t>Aprendiz 3 – Backend / BD  (etapa productiva × 18 meses × $1.750.905)</t>
  </si>
  <si>
    <t>SUBTOTAL RECURSO HUMANO</t>
  </si>
  <si>
    <t>COSTO TOTAL DEL PROYECTO</t>
  </si>
  <si>
    <t>NOTAS Y SUPUESTOS</t>
  </si>
  <si>
    <t>• 3 aprendices SENA Tecnólogo Desarrollo de Software en etapa productiva – Ley 2466/2025.</t>
  </si>
  <si>
    <t>• Apoyo mensual: $1.750.905 (100% SMMLV 2026) por aprendiz × 18 meses.</t>
  </si>
  <si>
    <t>• Hardware cotizado en Ktronix.com (junio 2026) – precios sujetos a variación.</t>
  </si>
  <si>
    <t>• Todo el software es gratuito/open-source: $0 en licencias.</t>
  </si>
  <si>
    <t>• Internet taller: operador local (~$65.000/mes × 18 meses).</t>
  </si>
  <si>
    <t>• Arquitectura 100% cloud (Railway + Vercel + Neon) – sin costo de servidor físico.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</si>
</sst>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2"/>
      <color rgb="FFFFFFFF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i/>
      <sz val="9"/>
      <color rgb="FF666666"/>
      <name val="Arial"/>
      <charset val="1"/>
    </font>
    <font>
      <i/>
      <sz val="10"/>
      <color rgb="FF1F6B2C"/>
      <name val="Arial"/>
      <charset val="1"/>
    </font>
    <font>
      <sz val="9"/>
      <color rgb="FF333333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6B2C"/>
        <bgColor rgb="FF2E7D32"/>
      </patternFill>
    </fill>
    <fill>
      <patternFill patternType="solid">
        <fgColor rgb="FF2E7D32"/>
        <bgColor rgb="FF1F6B2C"/>
      </patternFill>
    </fill>
    <fill>
      <patternFill patternType="solid">
        <fgColor rgb="FFD9D9D9"/>
        <bgColor rgb="FFC8E6C9"/>
      </patternFill>
    </fill>
    <fill>
      <patternFill patternType="solid">
        <fgColor rgb="FF2E8B57"/>
        <bgColor rgb="FF2E7D32"/>
      </patternFill>
    </fill>
    <fill>
      <patternFill patternType="solid">
        <fgColor rgb="FFE8F5E9"/>
        <bgColor rgb="FFF1F8E9"/>
      </patternFill>
    </fill>
    <fill>
      <patternFill patternType="solid">
        <fgColor rgb="FFC8E6C9"/>
        <bgColor rgb="FFD9D9D9"/>
      </patternFill>
    </fill>
    <fill>
      <patternFill patternType="solid">
        <fgColor rgb="FFF1F8E9"/>
        <bgColor rgb="FFE8F5E9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1" fillId="0" borderId="2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0" fillId="8" borderId="0" xfId="0" applyFont="1" applyFill="1" applyBorder="1"/>
    <xf numFmtId="0" fontId="2" fillId="5" borderId="0" xfId="0" applyFont="1" applyFill="1" applyBorder="1"/>
    <xf numFmtId="0" fontId="4" fillId="0" borderId="1" xfId="0" applyFont="1" applyBorder="1"/>
    <xf numFmtId="0" fontId="4" fillId="0" borderId="2" xfId="0" applyFont="1" applyBorder="1"/>
    <xf numFmtId="0" fontId="7" fillId="4" borderId="0" xfId="0" applyFont="1" applyFill="1" applyBorder="1"/>
    <xf numFmtId="0" fontId="9" fillId="0" borderId="0" xfId="0" applyFont="1" applyBorder="1"/>
    <xf numFmtId="0" fontId="8" fillId="2" borderId="1" xfId="0" applyFont="1" applyFill="1" applyBorder="1"/>
    <xf numFmtId="0" fontId="7" fillId="6" borderId="1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left" vertical="center" wrapText="1"/>
    </xf>
    <xf numFmtId="0" fontId="7" fillId="6" borderId="1" xfId="0" applyFont="1" applyFill="1" applyBorder="1"/>
    <xf numFmtId="3" fontId="3" fillId="6" borderId="1" xfId="0" applyNumberFormat="1" applyFont="1" applyFill="1" applyBorder="1"/>
    <xf numFmtId="0" fontId="0" fillId="0" borderId="1" xfId="0" applyBorder="1"/>
    <xf numFmtId="3" fontId="7" fillId="6" borderId="1" xfId="0" applyNumberFormat="1" applyFont="1" applyFill="1" applyBorder="1"/>
    <xf numFmtId="3" fontId="8" fillId="2" borderId="1" xfId="0" applyNumberFormat="1" applyFont="1" applyFill="1" applyBorder="1"/>
    <xf numFmtId="0" fontId="7" fillId="0" borderId="1" xfId="0" applyFont="1" applyBorder="1"/>
    <xf numFmtId="0" fontId="4" fillId="7" borderId="1" xfId="0" applyFont="1" applyFill="1" applyBorder="1" applyAlignment="1">
      <alignment horizontal="left" vertical="center" wrapText="1"/>
    </xf>
    <xf numFmtId="3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2C"/>
      <rgbColor rgb="FF000080"/>
      <rgbColor rgb="FF808000"/>
      <rgbColor rgb="FF800080"/>
      <rgbColor rgb="FF2E7D32"/>
      <rgbColor rgb="FFC0C0C0"/>
      <rgbColor rgb="FF808080"/>
      <rgbColor rgb="FF9999FF"/>
      <rgbColor rgb="FF993366"/>
      <rgbColor rgb="FFF1F8E9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2E8B5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opLeftCell="D1" zoomScaleNormal="100" workbookViewId="0">
      <pane ySplit="3" topLeftCell="D4" activePane="bottomLeft" state="frozen"/>
      <selection pane="bottomLeft"/>
    </sheetView>
  </sheetViews>
  <sheetFormatPr defaultColWidth="8.7421875" defaultRowHeight="15" x14ac:dyDescent="0.2"/>
  <cols>
    <col min="1" max="1" width="7.93359375" customWidth="1"/>
    <col min="2" max="2" width="22.05859375" customWidth="1"/>
    <col min="3" max="3" width="27.98046875" customWidth="1"/>
    <col min="4" max="4" width="37.93359375" customWidth="1"/>
    <col min="5" max="5" width="22.05859375" customWidth="1"/>
    <col min="6" max="6" width="9.953125" customWidth="1"/>
  </cols>
  <sheetData>
    <row r="1" spans="1:6" ht="30" customHeight="1" x14ac:dyDescent="0.2">
      <c r="A1" s="14" t="s">
        <v>0</v>
      </c>
      <c r="B1" s="14"/>
      <c r="C1" s="14"/>
      <c r="D1" s="14"/>
      <c r="E1" s="14"/>
      <c r="F1" s="14"/>
    </row>
    <row r="2" spans="1:6" ht="19.5" customHeight="1" x14ac:dyDescent="0.2">
      <c r="A2" s="13" t="s">
        <v>1</v>
      </c>
      <c r="B2" s="13"/>
      <c r="C2" s="13"/>
      <c r="D2" s="13"/>
      <c r="E2" s="13"/>
      <c r="F2" s="13"/>
    </row>
    <row r="3" spans="1:6" x14ac:dyDescent="0.2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</row>
    <row r="4" spans="1:6" ht="24.75" x14ac:dyDescent="0.2">
      <c r="A4" s="16" t="s">
        <v>8</v>
      </c>
      <c r="B4" s="16" t="s">
        <v>9</v>
      </c>
      <c r="C4" s="16" t="s">
        <v>10</v>
      </c>
      <c r="D4" s="16" t="s">
        <v>11</v>
      </c>
      <c r="E4" s="16" t="s">
        <v>12</v>
      </c>
      <c r="F4" s="16" t="s">
        <v>13</v>
      </c>
    </row>
    <row r="5" spans="1:6" ht="24.75" x14ac:dyDescent="0.2">
      <c r="A5" s="16" t="s">
        <v>14</v>
      </c>
      <c r="B5" s="16" t="s">
        <v>15</v>
      </c>
      <c r="C5" s="16" t="s">
        <v>16</v>
      </c>
      <c r="D5" s="16" t="s">
        <v>17</v>
      </c>
      <c r="E5" s="16" t="s">
        <v>18</v>
      </c>
      <c r="F5" s="16" t="s">
        <v>13</v>
      </c>
    </row>
    <row r="6" spans="1:6" ht="24.75" x14ac:dyDescent="0.2">
      <c r="A6" s="16" t="s">
        <v>19</v>
      </c>
      <c r="B6" s="16" t="s">
        <v>20</v>
      </c>
      <c r="C6" s="16" t="s">
        <v>21</v>
      </c>
      <c r="D6" s="16" t="s">
        <v>22</v>
      </c>
      <c r="E6" s="16" t="s">
        <v>23</v>
      </c>
      <c r="F6" s="16" t="s">
        <v>13</v>
      </c>
    </row>
    <row r="7" spans="1:6" ht="24.75" x14ac:dyDescent="0.2">
      <c r="A7" s="16" t="s">
        <v>24</v>
      </c>
      <c r="B7" s="16" t="s">
        <v>25</v>
      </c>
      <c r="C7" s="16" t="s">
        <v>26</v>
      </c>
      <c r="D7" s="16" t="s">
        <v>27</v>
      </c>
      <c r="E7" s="16" t="s">
        <v>28</v>
      </c>
      <c r="F7" s="16" t="s">
        <v>29</v>
      </c>
    </row>
    <row r="8" spans="1:6" ht="24.75" x14ac:dyDescent="0.2">
      <c r="A8" s="16" t="s">
        <v>30</v>
      </c>
      <c r="B8" s="16" t="s">
        <v>31</v>
      </c>
      <c r="C8" s="16" t="s">
        <v>32</v>
      </c>
      <c r="D8" s="16" t="s">
        <v>33</v>
      </c>
      <c r="E8" s="16" t="s">
        <v>12</v>
      </c>
      <c r="F8" s="16" t="s">
        <v>29</v>
      </c>
    </row>
    <row r="9" spans="1:6" ht="24.75" x14ac:dyDescent="0.2">
      <c r="A9" s="16" t="s">
        <v>34</v>
      </c>
      <c r="B9" s="16" t="s">
        <v>35</v>
      </c>
      <c r="C9" s="16" t="s">
        <v>36</v>
      </c>
      <c r="D9" s="16" t="s">
        <v>37</v>
      </c>
      <c r="E9" s="16" t="s">
        <v>38</v>
      </c>
      <c r="F9" s="16" t="s">
        <v>13</v>
      </c>
    </row>
    <row r="10" spans="1:6" ht="36" x14ac:dyDescent="0.2">
      <c r="A10" s="16" t="s">
        <v>39</v>
      </c>
      <c r="B10" s="16" t="s">
        <v>40</v>
      </c>
      <c r="C10" s="16" t="s">
        <v>41</v>
      </c>
      <c r="D10" s="16" t="s">
        <v>42</v>
      </c>
      <c r="E10" s="16" t="s">
        <v>18</v>
      </c>
      <c r="F10" s="16" t="s">
        <v>13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tabSelected="1" zoomScaleNormal="100" workbookViewId="0">
      <pane ySplit="3" topLeftCell="A4" activePane="bottomLeft" state="frozen"/>
      <selection pane="bottomLeft"/>
    </sheetView>
  </sheetViews>
  <sheetFormatPr defaultColWidth="8.7421875" defaultRowHeight="15" x14ac:dyDescent="0.2"/>
  <cols>
    <col min="1" max="1" width="4.03515625" customWidth="1"/>
    <col min="2" max="2" width="22.05859375" customWidth="1"/>
    <col min="3" max="3" width="37.93359375" customWidth="1"/>
    <col min="4" max="4" width="9.953125" customWidth="1"/>
    <col min="5" max="6" width="16.0078125" customWidth="1"/>
    <col min="7" max="7" width="7.93359375" customWidth="1"/>
    <col min="8" max="8" width="22.05859375" customWidth="1"/>
    <col min="9" max="9" width="45.0625" customWidth="1"/>
  </cols>
  <sheetData>
    <row r="1" spans="1:9" ht="15" customHeight="1" x14ac:dyDescent="0.2">
      <c r="A1" s="12" t="s">
        <v>43</v>
      </c>
      <c r="B1" s="12"/>
      <c r="C1" s="12"/>
      <c r="D1" s="12"/>
      <c r="E1" s="12"/>
      <c r="F1" s="12"/>
      <c r="G1" s="12"/>
      <c r="H1" s="12"/>
      <c r="I1" s="12"/>
    </row>
    <row r="2" spans="1:9" ht="15" customHeight="1" x14ac:dyDescent="0.2">
      <c r="A2" s="13" t="s">
        <v>44</v>
      </c>
      <c r="B2" s="13"/>
      <c r="C2" s="13"/>
      <c r="D2" s="13"/>
      <c r="E2" s="13"/>
      <c r="F2" s="13"/>
      <c r="G2" s="13"/>
      <c r="H2" s="13"/>
      <c r="I2" s="13"/>
    </row>
    <row r="3" spans="1:9" x14ac:dyDescent="0.2">
      <c r="A3" s="15" t="s">
        <v>45</v>
      </c>
      <c r="B3" s="15" t="s">
        <v>46</v>
      </c>
      <c r="C3" s="15" t="s">
        <v>47</v>
      </c>
      <c r="D3" s="15" t="s">
        <v>48</v>
      </c>
      <c r="E3" s="15" t="s">
        <v>49</v>
      </c>
      <c r="F3" s="15" t="s">
        <v>50</v>
      </c>
      <c r="G3" s="15" t="s">
        <v>51</v>
      </c>
      <c r="H3" s="15" t="s">
        <v>52</v>
      </c>
      <c r="I3" s="15" t="s">
        <v>53</v>
      </c>
    </row>
    <row r="4" spans="1:9" ht="15" customHeight="1" x14ac:dyDescent="0.2">
      <c r="A4" s="11" t="s">
        <v>54</v>
      </c>
      <c r="B4" s="11"/>
      <c r="C4" s="11"/>
      <c r="D4" s="11"/>
      <c r="E4" s="11"/>
      <c r="F4" s="11"/>
      <c r="G4" s="11"/>
      <c r="H4" s="11"/>
      <c r="I4" s="11"/>
    </row>
    <row r="5" spans="1:9" ht="24.75" x14ac:dyDescent="0.2">
      <c r="A5" s="16">
        <v>1</v>
      </c>
      <c r="B5" s="16" t="s">
        <v>55</v>
      </c>
      <c r="C5" s="16" t="s">
        <v>56</v>
      </c>
      <c r="D5" s="17">
        <v>3</v>
      </c>
      <c r="E5" s="18">
        <v>1849900</v>
      </c>
      <c r="F5" s="19">
        <f>D5*E5</f>
        <v>5549700</v>
      </c>
      <c r="G5" s="16" t="s">
        <v>57</v>
      </c>
      <c r="H5" s="16" t="s">
        <v>58</v>
      </c>
      <c r="I5" s="16" t="s">
        <v>59</v>
      </c>
    </row>
    <row r="6" spans="1:9" ht="36" x14ac:dyDescent="0.2">
      <c r="A6" s="16">
        <v>2</v>
      </c>
      <c r="B6" s="16" t="s">
        <v>60</v>
      </c>
      <c r="C6" s="16" t="s">
        <v>61</v>
      </c>
      <c r="D6" s="17">
        <v>3</v>
      </c>
      <c r="E6" s="18">
        <v>55000</v>
      </c>
      <c r="F6" s="19">
        <f>D6*E6</f>
        <v>165000</v>
      </c>
      <c r="G6" s="16" t="s">
        <v>57</v>
      </c>
      <c r="H6" s="16" t="s">
        <v>58</v>
      </c>
      <c r="I6" s="16" t="s">
        <v>62</v>
      </c>
    </row>
    <row r="7" spans="1:9" ht="36" x14ac:dyDescent="0.2">
      <c r="A7" s="16">
        <v>3</v>
      </c>
      <c r="B7" s="16" t="s">
        <v>63</v>
      </c>
      <c r="C7" s="16" t="s">
        <v>64</v>
      </c>
      <c r="D7" s="17">
        <v>3</v>
      </c>
      <c r="E7" s="18">
        <v>65000</v>
      </c>
      <c r="F7" s="19">
        <f>D7*E7</f>
        <v>195000</v>
      </c>
      <c r="G7" s="16" t="s">
        <v>57</v>
      </c>
      <c r="H7" s="16" t="s">
        <v>58</v>
      </c>
      <c r="I7" s="16" t="s">
        <v>65</v>
      </c>
    </row>
    <row r="8" spans="1:9" x14ac:dyDescent="0.2">
      <c r="A8" s="10" t="s">
        <v>66</v>
      </c>
      <c r="B8" s="10"/>
      <c r="C8" s="10"/>
      <c r="D8" s="10"/>
      <c r="E8" s="10"/>
      <c r="F8" s="21">
        <f>SUM(F5:F7)</f>
        <v>5909700</v>
      </c>
      <c r="G8" s="22"/>
      <c r="H8" s="22"/>
      <c r="I8" s="22"/>
    </row>
    <row r="9" spans="1:9" ht="15" customHeight="1" x14ac:dyDescent="0.2">
      <c r="A9" s="11" t="s">
        <v>67</v>
      </c>
      <c r="B9" s="11"/>
      <c r="C9" s="11"/>
      <c r="D9" s="11"/>
      <c r="E9" s="11"/>
      <c r="F9" s="11"/>
      <c r="G9" s="11"/>
      <c r="H9" s="11"/>
      <c r="I9" s="11"/>
    </row>
    <row r="10" spans="1:9" ht="24.75" x14ac:dyDescent="0.2">
      <c r="A10" s="16">
        <v>1</v>
      </c>
      <c r="B10" s="16" t="s">
        <v>68</v>
      </c>
      <c r="C10" s="16" t="s">
        <v>69</v>
      </c>
      <c r="D10" s="17">
        <v>1</v>
      </c>
      <c r="E10" s="18">
        <v>159900</v>
      </c>
      <c r="F10" s="19">
        <f>D10*E10</f>
        <v>159900</v>
      </c>
      <c r="G10" s="16" t="s">
        <v>57</v>
      </c>
      <c r="H10" s="16" t="s">
        <v>58</v>
      </c>
      <c r="I10" s="16" t="s">
        <v>70</v>
      </c>
    </row>
    <row r="11" spans="1:9" ht="24.75" x14ac:dyDescent="0.2">
      <c r="A11" s="16">
        <v>2</v>
      </c>
      <c r="B11" s="16" t="s">
        <v>71</v>
      </c>
      <c r="C11" s="16" t="s">
        <v>72</v>
      </c>
      <c r="D11" s="17">
        <v>1</v>
      </c>
      <c r="E11" s="18">
        <v>79000</v>
      </c>
      <c r="F11" s="19">
        <f>D11*E11</f>
        <v>79000</v>
      </c>
      <c r="G11" s="16" t="s">
        <v>57</v>
      </c>
      <c r="H11" s="16" t="s">
        <v>58</v>
      </c>
      <c r="I11" s="16" t="s">
        <v>73</v>
      </c>
    </row>
    <row r="12" spans="1:9" ht="24.75" x14ac:dyDescent="0.2">
      <c r="A12" s="16">
        <v>3</v>
      </c>
      <c r="B12" s="16" t="s">
        <v>74</v>
      </c>
      <c r="C12" s="16" t="s">
        <v>75</v>
      </c>
      <c r="D12" s="17">
        <v>1</v>
      </c>
      <c r="E12" s="18">
        <v>55000</v>
      </c>
      <c r="F12" s="19">
        <f>D12*E12</f>
        <v>55000</v>
      </c>
      <c r="G12" s="16" t="s">
        <v>57</v>
      </c>
      <c r="H12" s="16" t="s">
        <v>58</v>
      </c>
      <c r="I12" s="16" t="s">
        <v>76</v>
      </c>
    </row>
    <row r="13" spans="1:9" ht="24.75" x14ac:dyDescent="0.2">
      <c r="A13" s="16">
        <v>4</v>
      </c>
      <c r="B13" s="16" t="s">
        <v>77</v>
      </c>
      <c r="C13" s="16" t="s">
        <v>78</v>
      </c>
      <c r="D13" s="17">
        <v>1</v>
      </c>
      <c r="E13" s="18">
        <v>189000</v>
      </c>
      <c r="F13" s="19">
        <f>D13*E13</f>
        <v>189000</v>
      </c>
      <c r="G13" s="16" t="s">
        <v>57</v>
      </c>
      <c r="H13" s="16" t="s">
        <v>58</v>
      </c>
      <c r="I13" s="16" t="s">
        <v>79</v>
      </c>
    </row>
    <row r="14" spans="1:9" x14ac:dyDescent="0.2">
      <c r="A14" s="10" t="s">
        <v>80</v>
      </c>
      <c r="B14" s="10"/>
      <c r="C14" s="10"/>
      <c r="D14" s="10"/>
      <c r="E14" s="10"/>
      <c r="F14" s="23">
        <f>SUM(F10:F13)</f>
        <v>482900</v>
      </c>
      <c r="G14" s="22"/>
      <c r="H14" s="22"/>
      <c r="I14" s="22"/>
    </row>
    <row r="15" spans="1:9" x14ac:dyDescent="0.2">
      <c r="A15" s="9" t="s">
        <v>81</v>
      </c>
      <c r="B15" s="9"/>
      <c r="C15" s="9"/>
      <c r="D15" s="9"/>
      <c r="E15" s="9"/>
      <c r="F15" s="24">
        <f>F8+F14</f>
        <v>6392600</v>
      </c>
      <c r="G15" s="22"/>
      <c r="H15" s="22"/>
      <c r="I15" s="22"/>
    </row>
    <row r="16" spans="1:9" x14ac:dyDescent="0.2">
      <c r="A16" s="8" t="s">
        <v>82</v>
      </c>
      <c r="B16" s="8"/>
      <c r="C16" s="8"/>
      <c r="D16" s="8"/>
      <c r="E16" s="8"/>
      <c r="F16" s="8"/>
      <c r="G16" s="8"/>
      <c r="H16" s="8"/>
      <c r="I16" s="8"/>
    </row>
  </sheetData>
  <mergeCells count="8">
    <mergeCell ref="A14:E14"/>
    <mergeCell ref="A15:E15"/>
    <mergeCell ref="A16:I16"/>
    <mergeCell ref="A1:I1"/>
    <mergeCell ref="A2:I2"/>
    <mergeCell ref="A4:I4"/>
    <mergeCell ref="A8:E8"/>
    <mergeCell ref="A9:I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zoomScaleNormal="100" workbookViewId="0">
      <pane ySplit="3" topLeftCell="A4" activePane="bottomLeft" state="frozen"/>
      <selection pane="bottomLeft"/>
    </sheetView>
  </sheetViews>
  <sheetFormatPr defaultColWidth="8.7421875" defaultRowHeight="15" x14ac:dyDescent="0.2"/>
  <cols>
    <col min="1" max="1" width="4.03515625" customWidth="1"/>
    <col min="2" max="2" width="23.9453125" customWidth="1"/>
    <col min="3" max="3" width="41.96875" customWidth="1"/>
    <col min="4" max="4" width="11.97265625" customWidth="1"/>
    <col min="5" max="5" width="13.98828125" customWidth="1"/>
    <col min="6" max="6" width="7.93359375" customWidth="1"/>
    <col min="7" max="7" width="16.0078125" customWidth="1"/>
  </cols>
  <sheetData>
    <row r="1" spans="1:7" ht="15" customHeight="1" x14ac:dyDescent="0.2">
      <c r="A1" s="12" t="s">
        <v>83</v>
      </c>
      <c r="B1" s="12"/>
      <c r="C1" s="12"/>
      <c r="D1" s="12"/>
      <c r="E1" s="12"/>
      <c r="F1" s="12"/>
      <c r="G1" s="12"/>
    </row>
    <row r="2" spans="1:7" ht="15" customHeight="1" x14ac:dyDescent="0.2">
      <c r="A2" s="13" t="s">
        <v>84</v>
      </c>
      <c r="B2" s="13"/>
      <c r="C2" s="13"/>
      <c r="D2" s="13"/>
      <c r="E2" s="13"/>
      <c r="F2" s="13"/>
      <c r="G2" s="13"/>
    </row>
    <row r="3" spans="1:7" ht="24.75" x14ac:dyDescent="0.2">
      <c r="A3" s="15" t="s">
        <v>45</v>
      </c>
      <c r="B3" s="15" t="s">
        <v>85</v>
      </c>
      <c r="C3" s="15" t="s">
        <v>4</v>
      </c>
      <c r="D3" s="15" t="s">
        <v>86</v>
      </c>
      <c r="E3" s="15" t="s">
        <v>87</v>
      </c>
      <c r="F3" s="15" t="s">
        <v>88</v>
      </c>
      <c r="G3" s="15" t="s">
        <v>50</v>
      </c>
    </row>
    <row r="4" spans="1:7" ht="15" customHeight="1" x14ac:dyDescent="0.2">
      <c r="A4" s="11" t="s">
        <v>89</v>
      </c>
      <c r="B4" s="11"/>
      <c r="C4" s="11"/>
      <c r="D4" s="11"/>
      <c r="E4" s="11"/>
      <c r="F4" s="11"/>
      <c r="G4" s="11"/>
    </row>
    <row r="5" spans="1:7" ht="24.75" x14ac:dyDescent="0.2">
      <c r="A5" s="16">
        <v>1</v>
      </c>
      <c r="B5" s="16" t="s">
        <v>90</v>
      </c>
      <c r="C5" s="16" t="s">
        <v>91</v>
      </c>
      <c r="D5" s="16" t="s">
        <v>92</v>
      </c>
      <c r="E5" s="19">
        <v>0</v>
      </c>
      <c r="F5" s="16">
        <v>18</v>
      </c>
      <c r="G5" s="19">
        <f>E5*F5</f>
        <v>0</v>
      </c>
    </row>
    <row r="6" spans="1:7" x14ac:dyDescent="0.2">
      <c r="A6" s="16">
        <v>2</v>
      </c>
      <c r="B6" s="16" t="s">
        <v>93</v>
      </c>
      <c r="C6" s="16" t="s">
        <v>94</v>
      </c>
      <c r="D6" s="16" t="s">
        <v>92</v>
      </c>
      <c r="E6" s="19">
        <v>0</v>
      </c>
      <c r="F6" s="16">
        <v>18</v>
      </c>
      <c r="G6" s="19">
        <f>E6*F6</f>
        <v>0</v>
      </c>
    </row>
    <row r="7" spans="1:7" ht="24.75" x14ac:dyDescent="0.2">
      <c r="A7" s="16">
        <v>3</v>
      </c>
      <c r="B7" s="16" t="s">
        <v>95</v>
      </c>
      <c r="C7" s="16" t="s">
        <v>96</v>
      </c>
      <c r="D7" s="16" t="s">
        <v>92</v>
      </c>
      <c r="E7" s="19">
        <v>0</v>
      </c>
      <c r="F7" s="16">
        <v>18</v>
      </c>
      <c r="G7" s="19">
        <f>E7*F7</f>
        <v>0</v>
      </c>
    </row>
    <row r="8" spans="1:7" ht="24.75" x14ac:dyDescent="0.2">
      <c r="A8" s="16">
        <v>4</v>
      </c>
      <c r="B8" s="16" t="s">
        <v>97</v>
      </c>
      <c r="C8" s="16" t="s">
        <v>98</v>
      </c>
      <c r="D8" s="16" t="s">
        <v>92</v>
      </c>
      <c r="E8" s="19">
        <v>0</v>
      </c>
      <c r="F8" s="16">
        <v>18</v>
      </c>
      <c r="G8" s="19">
        <f>E8*F8</f>
        <v>0</v>
      </c>
    </row>
    <row r="9" spans="1:7" x14ac:dyDescent="0.2">
      <c r="A9" s="16">
        <v>5</v>
      </c>
      <c r="B9" s="16" t="s">
        <v>99</v>
      </c>
      <c r="C9" s="16" t="s">
        <v>100</v>
      </c>
      <c r="D9" s="16" t="s">
        <v>92</v>
      </c>
      <c r="E9" s="19">
        <v>0</v>
      </c>
      <c r="F9" s="16">
        <v>18</v>
      </c>
      <c r="G9" s="19">
        <f>E9*F9</f>
        <v>0</v>
      </c>
    </row>
    <row r="10" spans="1:7" ht="24.75" x14ac:dyDescent="0.2">
      <c r="A10" s="16">
        <v>6</v>
      </c>
      <c r="B10" s="16" t="s">
        <v>101</v>
      </c>
      <c r="C10" s="16" t="s">
        <v>102</v>
      </c>
      <c r="D10" s="16" t="s">
        <v>92</v>
      </c>
      <c r="E10" s="19">
        <v>0</v>
      </c>
      <c r="F10" s="16">
        <v>18</v>
      </c>
      <c r="G10" s="19">
        <f>E10*F10</f>
        <v>0</v>
      </c>
    </row>
    <row r="11" spans="1:7" x14ac:dyDescent="0.2">
      <c r="A11" s="16">
        <v>7</v>
      </c>
      <c r="B11" s="16" t="s">
        <v>103</v>
      </c>
      <c r="C11" s="16" t="s">
        <v>104</v>
      </c>
      <c r="D11" s="16" t="s">
        <v>92</v>
      </c>
      <c r="E11" s="19">
        <v>0</v>
      </c>
      <c r="F11" s="16">
        <v>18</v>
      </c>
      <c r="G11" s="19">
        <f>E11*F11</f>
        <v>0</v>
      </c>
    </row>
    <row r="12" spans="1:7" x14ac:dyDescent="0.2">
      <c r="A12" s="16">
        <v>8</v>
      </c>
      <c r="B12" s="16" t="s">
        <v>105</v>
      </c>
      <c r="C12" s="16" t="s">
        <v>106</v>
      </c>
      <c r="D12" s="16" t="s">
        <v>92</v>
      </c>
      <c r="E12" s="19">
        <v>0</v>
      </c>
      <c r="F12" s="16">
        <v>18</v>
      </c>
      <c r="G12" s="19">
        <f>E12*F12</f>
        <v>0</v>
      </c>
    </row>
    <row r="13" spans="1:7" ht="24.75" x14ac:dyDescent="0.2">
      <c r="A13" s="16">
        <v>9</v>
      </c>
      <c r="B13" s="16" t="s">
        <v>107</v>
      </c>
      <c r="C13" s="16" t="s">
        <v>108</v>
      </c>
      <c r="D13" s="16" t="s">
        <v>92</v>
      </c>
      <c r="E13" s="19">
        <v>0</v>
      </c>
      <c r="F13" s="16">
        <v>18</v>
      </c>
      <c r="G13" s="19">
        <f>E13*F13</f>
        <v>0</v>
      </c>
    </row>
    <row r="14" spans="1:7" x14ac:dyDescent="0.2">
      <c r="A14" s="16">
        <v>10</v>
      </c>
      <c r="B14" s="16" t="s">
        <v>109</v>
      </c>
      <c r="C14" s="16" t="s">
        <v>110</v>
      </c>
      <c r="D14" s="16" t="s">
        <v>92</v>
      </c>
      <c r="E14" s="19">
        <v>0</v>
      </c>
      <c r="F14" s="16">
        <v>18</v>
      </c>
      <c r="G14" s="19">
        <f>E14*F14</f>
        <v>0</v>
      </c>
    </row>
    <row r="15" spans="1:7" ht="24.75" x14ac:dyDescent="0.2">
      <c r="A15" s="16">
        <v>11</v>
      </c>
      <c r="B15" s="16" t="s">
        <v>111</v>
      </c>
      <c r="C15" s="16" t="s">
        <v>112</v>
      </c>
      <c r="D15" s="16" t="s">
        <v>92</v>
      </c>
      <c r="E15" s="19">
        <v>0</v>
      </c>
      <c r="F15" s="16">
        <v>18</v>
      </c>
      <c r="G15" s="19">
        <f>E15*F15</f>
        <v>0</v>
      </c>
    </row>
    <row r="16" spans="1:7" x14ac:dyDescent="0.2">
      <c r="A16" s="10" t="s">
        <v>113</v>
      </c>
      <c r="B16" s="10"/>
      <c r="C16" s="10"/>
      <c r="D16" s="10"/>
      <c r="E16" s="10"/>
      <c r="F16" s="10"/>
      <c r="G16" s="23">
        <f>SUM(G5:G15)</f>
        <v>0</v>
      </c>
    </row>
    <row r="17" spans="1:7" ht="15" customHeight="1" x14ac:dyDescent="0.2">
      <c r="A17" s="11" t="s">
        <v>114</v>
      </c>
      <c r="B17" s="11"/>
      <c r="C17" s="11"/>
      <c r="D17" s="11"/>
      <c r="E17" s="11"/>
      <c r="F17" s="11"/>
      <c r="G17" s="11"/>
    </row>
    <row r="18" spans="1:7" ht="24.75" x14ac:dyDescent="0.2">
      <c r="A18" s="16">
        <v>1</v>
      </c>
      <c r="B18" s="16" t="s">
        <v>115</v>
      </c>
      <c r="C18" s="16" t="s">
        <v>116</v>
      </c>
      <c r="D18" s="16" t="s">
        <v>92</v>
      </c>
      <c r="E18" s="19">
        <v>0</v>
      </c>
      <c r="F18" s="16">
        <v>18</v>
      </c>
      <c r="G18" s="19">
        <f>E18*F18</f>
        <v>0</v>
      </c>
    </row>
    <row r="19" spans="1:7" ht="24.75" x14ac:dyDescent="0.2">
      <c r="A19" s="16">
        <v>2</v>
      </c>
      <c r="B19" s="16" t="s">
        <v>117</v>
      </c>
      <c r="C19" s="16" t="s">
        <v>118</v>
      </c>
      <c r="D19" s="16" t="s">
        <v>92</v>
      </c>
      <c r="E19" s="19">
        <v>0</v>
      </c>
      <c r="F19" s="16">
        <v>18</v>
      </c>
      <c r="G19" s="19">
        <f>E19*F19</f>
        <v>0</v>
      </c>
    </row>
    <row r="20" spans="1:7" ht="24.75" x14ac:dyDescent="0.2">
      <c r="A20" s="16">
        <v>3</v>
      </c>
      <c r="B20" s="16" t="s">
        <v>119</v>
      </c>
      <c r="C20" s="16" t="s">
        <v>120</v>
      </c>
      <c r="D20" s="16" t="s">
        <v>92</v>
      </c>
      <c r="E20" s="19">
        <v>0</v>
      </c>
      <c r="F20" s="16">
        <v>18</v>
      </c>
      <c r="G20" s="19">
        <f>E20*F20</f>
        <v>0</v>
      </c>
    </row>
    <row r="21" spans="1:7" x14ac:dyDescent="0.2">
      <c r="A21" s="16">
        <v>4</v>
      </c>
      <c r="B21" s="16" t="s">
        <v>121</v>
      </c>
      <c r="C21" s="16" t="s">
        <v>122</v>
      </c>
      <c r="D21" s="16" t="s">
        <v>92</v>
      </c>
      <c r="E21" s="19">
        <v>0</v>
      </c>
      <c r="F21" s="16">
        <v>18</v>
      </c>
      <c r="G21" s="19">
        <f>E21*F21</f>
        <v>0</v>
      </c>
    </row>
    <row r="22" spans="1:7" ht="24.75" x14ac:dyDescent="0.2">
      <c r="A22" s="16">
        <v>5</v>
      </c>
      <c r="B22" s="16" t="s">
        <v>123</v>
      </c>
      <c r="C22" s="16" t="s">
        <v>124</v>
      </c>
      <c r="D22" s="16" t="s">
        <v>92</v>
      </c>
      <c r="E22" s="19">
        <v>0</v>
      </c>
      <c r="F22" s="16">
        <v>18</v>
      </c>
      <c r="G22" s="19">
        <f>E22*F22</f>
        <v>0</v>
      </c>
    </row>
    <row r="23" spans="1:7" ht="24.75" x14ac:dyDescent="0.2">
      <c r="A23" s="16">
        <v>6</v>
      </c>
      <c r="B23" s="16" t="s">
        <v>125</v>
      </c>
      <c r="C23" s="16" t="s">
        <v>126</v>
      </c>
      <c r="D23" s="16" t="s">
        <v>92</v>
      </c>
      <c r="E23" s="19">
        <v>0</v>
      </c>
      <c r="F23" s="16">
        <v>18</v>
      </c>
      <c r="G23" s="19">
        <f>E23*F23</f>
        <v>0</v>
      </c>
    </row>
    <row r="24" spans="1:7" x14ac:dyDescent="0.2">
      <c r="A24" s="10" t="s">
        <v>127</v>
      </c>
      <c r="B24" s="10"/>
      <c r="C24" s="10"/>
      <c r="D24" s="10"/>
      <c r="E24" s="10"/>
      <c r="F24" s="10"/>
      <c r="G24" s="23">
        <f>SUM(G18:G23)</f>
        <v>0</v>
      </c>
    </row>
    <row r="25" spans="1:7" x14ac:dyDescent="0.2">
      <c r="A25" s="9" t="s">
        <v>128</v>
      </c>
      <c r="B25" s="9"/>
      <c r="C25" s="9"/>
      <c r="D25" s="9"/>
      <c r="E25" s="9"/>
      <c r="F25" s="9"/>
      <c r="G25" s="24">
        <f>G16+G24</f>
        <v>0</v>
      </c>
    </row>
    <row r="26" spans="1:7" x14ac:dyDescent="0.2">
      <c r="A26" s="8" t="s">
        <v>129</v>
      </c>
      <c r="B26" s="8"/>
      <c r="C26" s="8"/>
      <c r="D26" s="8"/>
      <c r="E26" s="8"/>
      <c r="F26" s="8"/>
      <c r="G26" s="8"/>
    </row>
  </sheetData>
  <mergeCells count="8">
    <mergeCell ref="A24:F24"/>
    <mergeCell ref="A25:F25"/>
    <mergeCell ref="A26:G26"/>
    <mergeCell ref="A1:G1"/>
    <mergeCell ref="A2:G2"/>
    <mergeCell ref="A4:G4"/>
    <mergeCell ref="A16:F16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zoomScaleNormal="100" workbookViewId="0"/>
  </sheetViews>
  <sheetFormatPr defaultColWidth="8.7421875" defaultRowHeight="15" x14ac:dyDescent="0.2"/>
  <cols>
    <col min="1" max="1" width="4.03515625" customWidth="1"/>
    <col min="2" max="2" width="23.9453125" customWidth="1"/>
    <col min="3" max="3" width="41.96875" customWidth="1"/>
    <col min="4" max="4" width="13.98828125" customWidth="1"/>
    <col min="5" max="5" width="7.93359375" customWidth="1"/>
    <col min="6" max="6" width="18.0234375" customWidth="1"/>
  </cols>
  <sheetData>
    <row r="1" spans="1:6" ht="15" customHeight="1" x14ac:dyDescent="0.2">
      <c r="A1" s="12" t="s">
        <v>130</v>
      </c>
      <c r="B1" s="12"/>
      <c r="C1" s="12"/>
      <c r="D1" s="12"/>
      <c r="E1" s="12"/>
      <c r="F1" s="12"/>
    </row>
    <row r="2" spans="1:6" ht="15" customHeight="1" x14ac:dyDescent="0.2">
      <c r="A2" s="13" t="s">
        <v>131</v>
      </c>
      <c r="B2" s="13"/>
      <c r="C2" s="13"/>
      <c r="D2" s="13"/>
      <c r="E2" s="13"/>
      <c r="F2" s="13"/>
    </row>
    <row r="3" spans="1:6" ht="24.75" x14ac:dyDescent="0.2">
      <c r="A3" s="15" t="s">
        <v>45</v>
      </c>
      <c r="B3" s="15" t="s">
        <v>46</v>
      </c>
      <c r="C3" s="15" t="s">
        <v>47</v>
      </c>
      <c r="D3" s="15" t="s">
        <v>87</v>
      </c>
      <c r="E3" s="15" t="s">
        <v>88</v>
      </c>
      <c r="F3" s="15" t="s">
        <v>50</v>
      </c>
    </row>
    <row r="4" spans="1:6" ht="15" customHeight="1" x14ac:dyDescent="0.2">
      <c r="A4" s="11" t="s">
        <v>132</v>
      </c>
      <c r="B4" s="11"/>
      <c r="C4" s="11"/>
      <c r="D4" s="11"/>
      <c r="E4" s="11"/>
      <c r="F4" s="11"/>
    </row>
    <row r="5" spans="1:6" ht="24.75" x14ac:dyDescent="0.2">
      <c r="A5" s="16">
        <v>1</v>
      </c>
      <c r="B5" s="16" t="s">
        <v>133</v>
      </c>
      <c r="C5" s="16" t="s">
        <v>134</v>
      </c>
      <c r="D5" s="18">
        <v>65000</v>
      </c>
      <c r="E5" s="17">
        <v>18</v>
      </c>
      <c r="F5" s="19">
        <f>D5*E5</f>
        <v>1170000</v>
      </c>
    </row>
    <row r="6" spans="1:6" x14ac:dyDescent="0.2">
      <c r="A6" s="9" t="s">
        <v>135</v>
      </c>
      <c r="B6" s="9"/>
      <c r="C6" s="9"/>
      <c r="D6" s="9"/>
      <c r="E6" s="9"/>
      <c r="F6" s="24">
        <f>SUM(F5:F5)</f>
        <v>1170000</v>
      </c>
    </row>
    <row r="8" spans="1:6" x14ac:dyDescent="0.2">
      <c r="A8" s="7" t="s">
        <v>136</v>
      </c>
      <c r="B8" s="7"/>
      <c r="C8" s="7"/>
      <c r="D8" s="7"/>
      <c r="E8" s="7"/>
      <c r="F8" s="7"/>
    </row>
    <row r="9" spans="1:6" x14ac:dyDescent="0.2">
      <c r="A9" s="20" t="s">
        <v>137</v>
      </c>
      <c r="B9" s="6" t="s">
        <v>138</v>
      </c>
      <c r="C9" s="6"/>
      <c r="D9" s="6"/>
      <c r="E9" s="6"/>
      <c r="F9" s="6"/>
    </row>
    <row r="10" spans="1:6" x14ac:dyDescent="0.2">
      <c r="A10" s="20" t="s">
        <v>139</v>
      </c>
      <c r="B10" s="6" t="s">
        <v>140</v>
      </c>
      <c r="C10" s="6"/>
      <c r="D10" s="6"/>
      <c r="E10" s="6"/>
      <c r="F10" s="6"/>
    </row>
    <row r="11" spans="1:6" x14ac:dyDescent="0.2">
      <c r="A11" s="20" t="s">
        <v>141</v>
      </c>
      <c r="B11" s="6" t="s">
        <v>142</v>
      </c>
      <c r="C11" s="6"/>
      <c r="D11" s="6"/>
      <c r="E11" s="6"/>
      <c r="F11" s="6"/>
    </row>
    <row r="12" spans="1:6" x14ac:dyDescent="0.2">
      <c r="A12" s="20" t="s">
        <v>143</v>
      </c>
      <c r="B12" s="6" t="s">
        <v>144</v>
      </c>
      <c r="C12" s="6"/>
      <c r="D12" s="6"/>
      <c r="E12" s="6"/>
      <c r="F12" s="6"/>
    </row>
    <row r="13" spans="1:6" x14ac:dyDescent="0.2">
      <c r="A13" s="20" t="s">
        <v>145</v>
      </c>
      <c r="B13" s="6" t="s">
        <v>146</v>
      </c>
      <c r="C13" s="6"/>
      <c r="D13" s="6"/>
      <c r="E13" s="6"/>
      <c r="F13" s="6"/>
    </row>
    <row r="14" spans="1:6" x14ac:dyDescent="0.2">
      <c r="A14" s="20" t="s">
        <v>25</v>
      </c>
      <c r="B14" s="6" t="s">
        <v>147</v>
      </c>
      <c r="C14" s="6"/>
      <c r="D14" s="6"/>
      <c r="E14" s="6"/>
      <c r="F14" s="6"/>
    </row>
    <row r="15" spans="1:6" x14ac:dyDescent="0.2">
      <c r="A15" s="20" t="s">
        <v>148</v>
      </c>
      <c r="B15" s="6" t="s">
        <v>149</v>
      </c>
      <c r="C15" s="6"/>
      <c r="D15" s="6"/>
      <c r="E15" s="6"/>
      <c r="F15" s="6"/>
    </row>
  </sheetData>
  <mergeCells count="12">
    <mergeCell ref="B14:F14"/>
    <mergeCell ref="B15:F15"/>
    <mergeCell ref="B9:F9"/>
    <mergeCell ref="B10:F10"/>
    <mergeCell ref="B11:F11"/>
    <mergeCell ref="B12:F12"/>
    <mergeCell ref="B13:F13"/>
    <mergeCell ref="A1:F1"/>
    <mergeCell ref="A2:F2"/>
    <mergeCell ref="A4:F4"/>
    <mergeCell ref="A6:E6"/>
    <mergeCell ref="A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zoomScaleNormal="100" workbookViewId="0">
      <pane ySplit="3" topLeftCell="A4" activePane="bottomLeft" state="frozen"/>
      <selection pane="bottomLeft"/>
    </sheetView>
  </sheetViews>
  <sheetFormatPr defaultColWidth="8.7421875" defaultRowHeight="15" x14ac:dyDescent="0.2"/>
  <cols>
    <col min="1" max="1" width="4.03515625" customWidth="1"/>
    <col min="2" max="2" width="23.9453125" customWidth="1"/>
    <col min="3" max="3" width="29.99609375" customWidth="1"/>
    <col min="4" max="4" width="22.05859375" customWidth="1"/>
    <col min="5" max="5" width="18.0234375" customWidth="1"/>
    <col min="6" max="6" width="7.93359375" customWidth="1"/>
    <col min="7" max="7" width="16.0078125" customWidth="1"/>
    <col min="8" max="8" width="36.05078125" customWidth="1"/>
  </cols>
  <sheetData>
    <row r="1" spans="1:10" ht="15" customHeight="1" x14ac:dyDescent="0.2">
      <c r="A1" s="12" t="s">
        <v>150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" customHeight="1" x14ac:dyDescent="0.2">
      <c r="A2" s="13" t="s">
        <v>151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24.75" x14ac:dyDescent="0.2">
      <c r="A3" s="15" t="s">
        <v>45</v>
      </c>
      <c r="B3" s="15" t="s">
        <v>152</v>
      </c>
      <c r="C3" s="15" t="s">
        <v>153</v>
      </c>
      <c r="D3" s="15" t="s">
        <v>154</v>
      </c>
      <c r="E3" s="15" t="s">
        <v>155</v>
      </c>
      <c r="F3" s="15" t="s">
        <v>88</v>
      </c>
      <c r="G3" s="15" t="s">
        <v>50</v>
      </c>
      <c r="H3" s="15" t="s">
        <v>156</v>
      </c>
    </row>
    <row r="4" spans="1:10" ht="15" customHeight="1" x14ac:dyDescent="0.2">
      <c r="A4" s="11" t="s">
        <v>157</v>
      </c>
      <c r="B4" s="11"/>
      <c r="C4" s="11"/>
      <c r="D4" s="11"/>
      <c r="E4" s="11"/>
      <c r="F4" s="11"/>
      <c r="G4" s="11"/>
      <c r="H4" s="11"/>
    </row>
    <row r="5" spans="1:10" ht="24.75" x14ac:dyDescent="0.2">
      <c r="A5" s="16">
        <v>1</v>
      </c>
      <c r="B5" s="16" t="s">
        <v>158</v>
      </c>
      <c r="C5" s="16" t="s">
        <v>159</v>
      </c>
      <c r="D5" s="16" t="s">
        <v>160</v>
      </c>
      <c r="E5" s="18">
        <v>1750905</v>
      </c>
      <c r="F5" s="17">
        <v>18</v>
      </c>
      <c r="G5" s="19">
        <f>E5*F5</f>
        <v>31516290</v>
      </c>
      <c r="H5" s="16" t="s">
        <v>161</v>
      </c>
    </row>
    <row r="6" spans="1:10" ht="24.75" x14ac:dyDescent="0.2">
      <c r="A6" s="16">
        <v>2</v>
      </c>
      <c r="B6" s="16" t="s">
        <v>162</v>
      </c>
      <c r="C6" s="16" t="s">
        <v>163</v>
      </c>
      <c r="D6" s="16" t="s">
        <v>160</v>
      </c>
      <c r="E6" s="18">
        <v>1750905</v>
      </c>
      <c r="F6" s="17">
        <v>18</v>
      </c>
      <c r="G6" s="19">
        <f>E6*F6</f>
        <v>31516290</v>
      </c>
      <c r="H6" s="16" t="s">
        <v>161</v>
      </c>
    </row>
    <row r="7" spans="1:10" ht="24.75" x14ac:dyDescent="0.2">
      <c r="A7" s="16">
        <v>3</v>
      </c>
      <c r="B7" s="16" t="s">
        <v>164</v>
      </c>
      <c r="C7" s="16" t="s">
        <v>165</v>
      </c>
      <c r="D7" s="16" t="s">
        <v>160</v>
      </c>
      <c r="E7" s="18">
        <v>1750905</v>
      </c>
      <c r="F7" s="17">
        <v>18</v>
      </c>
      <c r="G7" s="19">
        <f>E7*F7</f>
        <v>31516290</v>
      </c>
      <c r="H7" s="16" t="s">
        <v>161</v>
      </c>
    </row>
    <row r="8" spans="1:10" x14ac:dyDescent="0.2">
      <c r="A8" s="9" t="s">
        <v>166</v>
      </c>
      <c r="B8" s="9"/>
      <c r="C8" s="9"/>
      <c r="D8" s="9"/>
      <c r="E8" s="9"/>
      <c r="F8" s="9"/>
      <c r="G8" s="24">
        <f>SUM(G5:G7)</f>
        <v>94548870</v>
      </c>
      <c r="H8" s="22"/>
    </row>
    <row r="10" spans="1:10" x14ac:dyDescent="0.2">
      <c r="A10" s="7" t="s">
        <v>167</v>
      </c>
      <c r="B10" s="7"/>
      <c r="C10" s="7"/>
      <c r="D10" s="7"/>
      <c r="E10" s="7"/>
      <c r="F10" s="7"/>
      <c r="G10" s="7"/>
      <c r="H10" s="7"/>
    </row>
    <row r="11" spans="1:10" x14ac:dyDescent="0.2">
      <c r="A11" s="20" t="s">
        <v>168</v>
      </c>
      <c r="B11" s="5" t="s">
        <v>169</v>
      </c>
      <c r="C11" s="5"/>
      <c r="D11" s="5"/>
      <c r="E11" s="5"/>
      <c r="F11" s="5"/>
      <c r="G11" s="25" t="s">
        <v>170</v>
      </c>
      <c r="H11" s="22"/>
    </row>
    <row r="12" spans="1:10" x14ac:dyDescent="0.2">
      <c r="A12" s="20" t="s">
        <v>171</v>
      </c>
      <c r="B12" s="5" t="s">
        <v>172</v>
      </c>
      <c r="C12" s="5"/>
      <c r="D12" s="5"/>
      <c r="E12" s="5"/>
      <c r="F12" s="5"/>
      <c r="G12" s="25" t="s">
        <v>173</v>
      </c>
      <c r="H12" s="22"/>
    </row>
    <row r="13" spans="1:10" x14ac:dyDescent="0.2">
      <c r="A13" s="20" t="s">
        <v>174</v>
      </c>
      <c r="B13" s="5" t="s">
        <v>175</v>
      </c>
      <c r="C13" s="5"/>
      <c r="D13" s="5"/>
      <c r="E13" s="5"/>
      <c r="F13" s="5"/>
      <c r="G13" s="25" t="s">
        <v>176</v>
      </c>
      <c r="H13" s="22"/>
    </row>
    <row r="14" spans="1:10" x14ac:dyDescent="0.2">
      <c r="A14" s="20" t="s">
        <v>177</v>
      </c>
      <c r="B14" s="5" t="s">
        <v>175</v>
      </c>
      <c r="C14" s="5"/>
      <c r="D14" s="5"/>
      <c r="E14" s="5"/>
      <c r="F14" s="5"/>
      <c r="G14" s="25" t="s">
        <v>178</v>
      </c>
      <c r="H14" s="22"/>
    </row>
  </sheetData>
  <mergeCells count="9">
    <mergeCell ref="B11:F11"/>
    <mergeCell ref="B12:F12"/>
    <mergeCell ref="B13:F13"/>
    <mergeCell ref="B14:F14"/>
    <mergeCell ref="A1:J1"/>
    <mergeCell ref="A2:J2"/>
    <mergeCell ref="A4:H4"/>
    <mergeCell ref="A8:F8"/>
    <mergeCell ref="A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zoomScaleNormal="100" workbookViewId="0">
      <pane ySplit="4" topLeftCell="A5" activePane="bottomLeft" state="frozen"/>
      <selection pane="bottomLeft"/>
    </sheetView>
  </sheetViews>
  <sheetFormatPr defaultColWidth="8.7421875" defaultRowHeight="15" x14ac:dyDescent="0.2"/>
  <cols>
    <col min="1" max="1" width="23.9453125" customWidth="1"/>
    <col min="2" max="2" width="18.0234375" customWidth="1"/>
    <col min="3" max="3" width="13.98828125" customWidth="1"/>
    <col min="4" max="4" width="16.0078125" customWidth="1"/>
    <col min="5" max="5" width="9.953125" customWidth="1"/>
    <col min="6" max="6" width="13.98828125" customWidth="1"/>
    <col min="7" max="7" width="18.0234375" customWidth="1"/>
    <col min="8" max="8" width="23.9453125" customWidth="1"/>
    <col min="9" max="9" width="45.0625" customWidth="1"/>
  </cols>
  <sheetData>
    <row r="1" spans="1:9" ht="15" customHeight="1" x14ac:dyDescent="0.2">
      <c r="A1" s="12" t="s">
        <v>179</v>
      </c>
      <c r="B1" s="12"/>
      <c r="C1" s="12"/>
      <c r="D1" s="12"/>
      <c r="E1" s="12"/>
      <c r="F1" s="12"/>
      <c r="G1" s="12"/>
      <c r="H1" s="12"/>
      <c r="I1" s="12"/>
    </row>
    <row r="2" spans="1:9" ht="15" customHeight="1" x14ac:dyDescent="0.2">
      <c r="A2" s="13" t="s">
        <v>180</v>
      </c>
      <c r="B2" s="13"/>
      <c r="C2" s="13"/>
      <c r="D2" s="13"/>
      <c r="E2" s="13"/>
      <c r="F2" s="13"/>
      <c r="G2" s="13"/>
      <c r="H2" s="13"/>
      <c r="I2" s="13"/>
    </row>
    <row r="4" spans="1:9" x14ac:dyDescent="0.2">
      <c r="A4" s="4" t="s">
        <v>181</v>
      </c>
      <c r="B4" s="4"/>
      <c r="C4" s="4"/>
      <c r="D4" s="4"/>
      <c r="E4" s="4"/>
      <c r="F4" s="4"/>
      <c r="G4" s="4"/>
      <c r="H4" s="4"/>
      <c r="I4" s="4"/>
    </row>
    <row r="5" spans="1:9" x14ac:dyDescent="0.2">
      <c r="A5" s="15" t="s">
        <v>182</v>
      </c>
      <c r="B5" s="15" t="s">
        <v>183</v>
      </c>
      <c r="C5" s="15" t="s">
        <v>184</v>
      </c>
      <c r="D5" s="15" t="s">
        <v>185</v>
      </c>
      <c r="E5" s="15" t="s">
        <v>186</v>
      </c>
      <c r="F5" s="15" t="s">
        <v>187</v>
      </c>
      <c r="G5" s="15" t="s">
        <v>188</v>
      </c>
      <c r="H5" s="15" t="s">
        <v>189</v>
      </c>
      <c r="I5" s="15" t="s">
        <v>53</v>
      </c>
    </row>
    <row r="6" spans="1:9" ht="24.75" x14ac:dyDescent="0.2">
      <c r="A6" s="16" t="s">
        <v>190</v>
      </c>
      <c r="B6" s="16" t="s">
        <v>191</v>
      </c>
      <c r="C6" s="16" t="s">
        <v>192</v>
      </c>
      <c r="D6" s="16" t="s">
        <v>193</v>
      </c>
      <c r="E6" s="16" t="s">
        <v>194</v>
      </c>
      <c r="F6" s="18">
        <v>1849900</v>
      </c>
      <c r="G6" s="26" t="s">
        <v>195</v>
      </c>
      <c r="H6" s="26" t="s">
        <v>196</v>
      </c>
      <c r="I6" s="16" t="s">
        <v>59</v>
      </c>
    </row>
    <row r="7" spans="1:9" ht="26.25" x14ac:dyDescent="0.2">
      <c r="A7" s="16" t="s">
        <v>197</v>
      </c>
      <c r="B7" s="16" t="s">
        <v>198</v>
      </c>
      <c r="C7" s="16" t="s">
        <v>192</v>
      </c>
      <c r="D7" s="16" t="s">
        <v>199</v>
      </c>
      <c r="E7" s="16" t="s">
        <v>194</v>
      </c>
      <c r="F7" s="18">
        <v>1649000</v>
      </c>
      <c r="G7" s="16" t="s">
        <v>200</v>
      </c>
      <c r="H7" s="16" t="s">
        <v>201</v>
      </c>
      <c r="I7" s="16" t="s">
        <v>59</v>
      </c>
    </row>
    <row r="8" spans="1:9" ht="24.75" x14ac:dyDescent="0.2">
      <c r="A8" s="16" t="s">
        <v>202</v>
      </c>
      <c r="B8" s="16" t="s">
        <v>203</v>
      </c>
      <c r="C8" s="16" t="s">
        <v>192</v>
      </c>
      <c r="D8" s="16" t="s">
        <v>204</v>
      </c>
      <c r="E8" s="16" t="s">
        <v>194</v>
      </c>
      <c r="F8" s="18">
        <v>2199000</v>
      </c>
      <c r="G8" s="16" t="s">
        <v>205</v>
      </c>
      <c r="H8" s="16" t="s">
        <v>206</v>
      </c>
      <c r="I8" s="16" t="s">
        <v>59</v>
      </c>
    </row>
    <row r="9" spans="1:9" x14ac:dyDescent="0.2">
      <c r="A9" s="3" t="s">
        <v>207</v>
      </c>
      <c r="B9" s="3"/>
      <c r="C9" s="3"/>
      <c r="D9" s="3"/>
      <c r="E9" s="3"/>
      <c r="F9" s="3"/>
      <c r="G9" s="3"/>
      <c r="H9" s="3"/>
      <c r="I9" s="3"/>
    </row>
    <row r="11" spans="1:9" x14ac:dyDescent="0.2">
      <c r="A11" s="4" t="s">
        <v>208</v>
      </c>
      <c r="B11" s="4"/>
      <c r="C11" s="4"/>
      <c r="D11" s="4"/>
      <c r="E11" s="4"/>
      <c r="F11" s="4"/>
      <c r="G11" s="4"/>
      <c r="H11" s="4"/>
      <c r="I11" s="4"/>
    </row>
    <row r="12" spans="1:9" x14ac:dyDescent="0.2">
      <c r="A12" s="15" t="s">
        <v>182</v>
      </c>
      <c r="B12" s="15" t="s">
        <v>209</v>
      </c>
      <c r="C12" s="15" t="s">
        <v>210</v>
      </c>
      <c r="D12" s="15" t="s">
        <v>211</v>
      </c>
      <c r="E12" s="15" t="s">
        <v>186</v>
      </c>
      <c r="F12" s="15" t="s">
        <v>187</v>
      </c>
      <c r="G12" s="15" t="s">
        <v>188</v>
      </c>
      <c r="H12" s="15" t="s">
        <v>189</v>
      </c>
      <c r="I12" s="15" t="s">
        <v>53</v>
      </c>
    </row>
    <row r="13" spans="1:9" ht="24.75" x14ac:dyDescent="0.2">
      <c r="A13" s="16" t="s">
        <v>212</v>
      </c>
      <c r="B13" s="16" t="s">
        <v>213</v>
      </c>
      <c r="C13" s="16" t="s">
        <v>214</v>
      </c>
      <c r="D13" s="16" t="s">
        <v>215</v>
      </c>
      <c r="E13" s="16" t="s">
        <v>194</v>
      </c>
      <c r="F13" s="18">
        <v>79000</v>
      </c>
      <c r="G13" s="26" t="s">
        <v>216</v>
      </c>
      <c r="H13" s="26" t="s">
        <v>217</v>
      </c>
      <c r="I13" s="16" t="s">
        <v>70</v>
      </c>
    </row>
    <row r="14" spans="1:9" ht="26.25" x14ac:dyDescent="0.2">
      <c r="A14" s="16" t="s">
        <v>218</v>
      </c>
      <c r="B14" s="16" t="s">
        <v>219</v>
      </c>
      <c r="C14" s="16" t="s">
        <v>220</v>
      </c>
      <c r="D14" s="16" t="s">
        <v>221</v>
      </c>
      <c r="E14" s="16" t="s">
        <v>194</v>
      </c>
      <c r="F14" s="18">
        <v>249000</v>
      </c>
      <c r="G14" s="16" t="s">
        <v>216</v>
      </c>
      <c r="H14" s="16" t="s">
        <v>222</v>
      </c>
      <c r="I14" s="16" t="s">
        <v>70</v>
      </c>
    </row>
    <row r="15" spans="1:9" ht="26.25" x14ac:dyDescent="0.2">
      <c r="A15" s="16" t="s">
        <v>223</v>
      </c>
      <c r="B15" s="16" t="s">
        <v>224</v>
      </c>
      <c r="C15" s="16" t="s">
        <v>220</v>
      </c>
      <c r="D15" s="16" t="s">
        <v>225</v>
      </c>
      <c r="E15" s="16" t="s">
        <v>194</v>
      </c>
      <c r="F15" s="18">
        <v>159900</v>
      </c>
      <c r="G15" s="16" t="s">
        <v>216</v>
      </c>
      <c r="H15" s="16" t="s">
        <v>226</v>
      </c>
      <c r="I15" s="16" t="s">
        <v>70</v>
      </c>
    </row>
    <row r="16" spans="1:9" x14ac:dyDescent="0.2">
      <c r="A16" s="3" t="s">
        <v>227</v>
      </c>
      <c r="B16" s="3"/>
      <c r="C16" s="3"/>
      <c r="D16" s="3"/>
      <c r="E16" s="3"/>
      <c r="F16" s="3"/>
      <c r="G16" s="3"/>
      <c r="H16" s="3"/>
      <c r="I16" s="3"/>
    </row>
    <row r="18" spans="1:9" x14ac:dyDescent="0.2">
      <c r="A18" s="4" t="s">
        <v>228</v>
      </c>
      <c r="B18" s="4"/>
      <c r="C18" s="4"/>
      <c r="D18" s="4"/>
      <c r="E18" s="4"/>
      <c r="F18" s="4"/>
      <c r="G18" s="4"/>
      <c r="H18" s="4"/>
      <c r="I18" s="4"/>
    </row>
    <row r="19" spans="1:9" x14ac:dyDescent="0.2">
      <c r="A19" s="15" t="s">
        <v>182</v>
      </c>
      <c r="B19" s="15" t="s">
        <v>229</v>
      </c>
      <c r="C19" s="15" t="s">
        <v>230</v>
      </c>
      <c r="D19" s="15" t="s">
        <v>231</v>
      </c>
      <c r="E19" s="15" t="s">
        <v>186</v>
      </c>
      <c r="F19" s="15" t="s">
        <v>187</v>
      </c>
      <c r="G19" s="15" t="s">
        <v>188</v>
      </c>
      <c r="H19" s="15" t="s">
        <v>189</v>
      </c>
      <c r="I19" s="15" t="s">
        <v>53</v>
      </c>
    </row>
    <row r="20" spans="1:9" ht="24.75" x14ac:dyDescent="0.2">
      <c r="A20" s="16" t="s">
        <v>232</v>
      </c>
      <c r="B20" s="16" t="s">
        <v>233</v>
      </c>
      <c r="C20" s="16" t="s">
        <v>234</v>
      </c>
      <c r="D20" s="16" t="s">
        <v>235</v>
      </c>
      <c r="E20" s="16" t="s">
        <v>194</v>
      </c>
      <c r="F20" s="18">
        <v>189000</v>
      </c>
      <c r="G20" s="26" t="s">
        <v>195</v>
      </c>
      <c r="H20" s="26" t="s">
        <v>236</v>
      </c>
      <c r="I20" s="16" t="s">
        <v>79</v>
      </c>
    </row>
    <row r="21" spans="1:9" ht="24.75" x14ac:dyDescent="0.2">
      <c r="A21" s="16" t="s">
        <v>237</v>
      </c>
      <c r="B21" s="16" t="s">
        <v>238</v>
      </c>
      <c r="C21" s="16" t="s">
        <v>234</v>
      </c>
      <c r="D21" s="16" t="s">
        <v>239</v>
      </c>
      <c r="E21" s="16" t="s">
        <v>240</v>
      </c>
      <c r="F21" s="18">
        <v>289000</v>
      </c>
      <c r="G21" s="16" t="s">
        <v>241</v>
      </c>
      <c r="H21" s="16" t="s">
        <v>242</v>
      </c>
      <c r="I21" s="16" t="s">
        <v>79</v>
      </c>
    </row>
    <row r="22" spans="1:9" ht="24.75" x14ac:dyDescent="0.2">
      <c r="A22" s="16" t="s">
        <v>243</v>
      </c>
      <c r="B22" s="16" t="s">
        <v>244</v>
      </c>
      <c r="C22" s="16" t="s">
        <v>245</v>
      </c>
      <c r="D22" s="16" t="s">
        <v>246</v>
      </c>
      <c r="E22" s="16" t="s">
        <v>194</v>
      </c>
      <c r="F22" s="18">
        <v>99000</v>
      </c>
      <c r="G22" s="16" t="s">
        <v>247</v>
      </c>
      <c r="H22" s="16" t="s">
        <v>248</v>
      </c>
      <c r="I22" s="16" t="s">
        <v>79</v>
      </c>
    </row>
  </sheetData>
  <mergeCells count="7">
    <mergeCell ref="A16:I16"/>
    <mergeCell ref="A18:I18"/>
    <mergeCell ref="A1:I1"/>
    <mergeCell ref="A2:I2"/>
    <mergeCell ref="A4:I4"/>
    <mergeCell ref="A9:I9"/>
    <mergeCell ref="A11:I1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6"/>
  <sheetViews>
    <sheetView zoomScaleNormal="100" workbookViewId="0">
      <pane ySplit="3" topLeftCell="A4" activePane="bottomLeft" state="frozen"/>
      <selection pane="bottomLeft"/>
    </sheetView>
  </sheetViews>
  <sheetFormatPr defaultColWidth="8.7421875" defaultRowHeight="15" x14ac:dyDescent="0.2"/>
  <cols>
    <col min="1" max="1" width="16.0078125" customWidth="1"/>
    <col min="2" max="2" width="52.05859375" customWidth="1"/>
    <col min="3" max="3" width="18.0234375" customWidth="1"/>
    <col min="4" max="4" width="11.97265625" customWidth="1"/>
    <col min="5" max="5" width="18.0234375" customWidth="1"/>
  </cols>
  <sheetData>
    <row r="1" spans="1:5" ht="16.149999999999999" customHeight="1" x14ac:dyDescent="0.2">
      <c r="A1" s="14" t="s">
        <v>249</v>
      </c>
      <c r="B1" s="14"/>
      <c r="C1" s="14"/>
      <c r="D1" s="14"/>
      <c r="E1" s="14"/>
    </row>
    <row r="2" spans="1:5" ht="15" customHeight="1" x14ac:dyDescent="0.2">
      <c r="A2" s="13" t="s">
        <v>250</v>
      </c>
      <c r="B2" s="13"/>
      <c r="C2" s="13"/>
      <c r="D2" s="13"/>
      <c r="E2" s="13"/>
    </row>
    <row r="3" spans="1:5" x14ac:dyDescent="0.2">
      <c r="A3" s="15" t="s">
        <v>251</v>
      </c>
      <c r="B3" s="15" t="s">
        <v>252</v>
      </c>
      <c r="C3" s="15" t="s">
        <v>51</v>
      </c>
      <c r="D3" s="15" t="s">
        <v>253</v>
      </c>
      <c r="E3" s="15" t="s">
        <v>254</v>
      </c>
    </row>
    <row r="4" spans="1:5" ht="15" customHeight="1" x14ac:dyDescent="0.2">
      <c r="A4" s="11" t="s">
        <v>255</v>
      </c>
      <c r="B4" s="11"/>
      <c r="C4" s="11"/>
      <c r="D4" s="11"/>
      <c r="E4" s="11"/>
    </row>
    <row r="5" spans="1:5" ht="24.75" x14ac:dyDescent="0.2">
      <c r="A5" s="16" t="s">
        <v>256</v>
      </c>
      <c r="B5" s="16" t="s">
        <v>257</v>
      </c>
      <c r="C5" s="16" t="s">
        <v>57</v>
      </c>
      <c r="D5" s="16" t="s">
        <v>258</v>
      </c>
      <c r="E5" s="19">
        <f>'1. Hardware'!F8</f>
        <v>5909700</v>
      </c>
    </row>
    <row r="6" spans="1:5" x14ac:dyDescent="0.2">
      <c r="A6" s="16" t="s">
        <v>256</v>
      </c>
      <c r="B6" s="16" t="s">
        <v>259</v>
      </c>
      <c r="C6" s="16" t="s">
        <v>57</v>
      </c>
      <c r="D6" s="16" t="s">
        <v>258</v>
      </c>
      <c r="E6" s="19">
        <f>'1. Hardware'!F14</f>
        <v>482900</v>
      </c>
    </row>
    <row r="7" spans="1:5" x14ac:dyDescent="0.2">
      <c r="A7" s="10" t="s">
        <v>260</v>
      </c>
      <c r="B7" s="10"/>
      <c r="C7" s="10"/>
      <c r="D7" s="10"/>
      <c r="E7" s="23">
        <f>SUM(E5:E6)</f>
        <v>6392600</v>
      </c>
    </row>
    <row r="8" spans="1:5" ht="15" customHeight="1" x14ac:dyDescent="0.2">
      <c r="A8" s="11" t="s">
        <v>261</v>
      </c>
      <c r="B8" s="11"/>
      <c r="C8" s="11"/>
      <c r="D8" s="11"/>
      <c r="E8" s="11"/>
    </row>
    <row r="9" spans="1:5" ht="24.75" x14ac:dyDescent="0.2">
      <c r="A9" s="16" t="s">
        <v>262</v>
      </c>
      <c r="B9" s="16" t="s">
        <v>263</v>
      </c>
      <c r="C9" s="16" t="s">
        <v>92</v>
      </c>
      <c r="D9" s="16" t="s">
        <v>264</v>
      </c>
      <c r="E9" s="19">
        <f>'2. Software'!G25</f>
        <v>0</v>
      </c>
    </row>
    <row r="10" spans="1:5" ht="15" customHeight="1" x14ac:dyDescent="0.2">
      <c r="A10" s="11" t="s">
        <v>265</v>
      </c>
      <c r="B10" s="11"/>
      <c r="C10" s="11"/>
      <c r="D10" s="11"/>
      <c r="E10" s="11"/>
    </row>
    <row r="11" spans="1:5" x14ac:dyDescent="0.2">
      <c r="A11" s="16" t="s">
        <v>266</v>
      </c>
      <c r="B11" s="16" t="s">
        <v>267</v>
      </c>
      <c r="C11" s="16" t="s">
        <v>268</v>
      </c>
      <c r="D11" s="16" t="s">
        <v>264</v>
      </c>
      <c r="E11" s="19">
        <f>'3. Arquitectura Red'!F6</f>
        <v>1170000</v>
      </c>
    </row>
    <row r="12" spans="1:5" ht="15" customHeight="1" x14ac:dyDescent="0.2">
      <c r="A12" s="11" t="s">
        <v>269</v>
      </c>
      <c r="B12" s="11"/>
      <c r="C12" s="11"/>
      <c r="D12" s="11"/>
      <c r="E12" s="11"/>
    </row>
    <row r="13" spans="1:5" ht="24.75" x14ac:dyDescent="0.2">
      <c r="A13" s="16" t="s">
        <v>270</v>
      </c>
      <c r="B13" s="16" t="s">
        <v>271</v>
      </c>
      <c r="C13" s="16" t="s">
        <v>272</v>
      </c>
      <c r="D13" s="16" t="s">
        <v>264</v>
      </c>
      <c r="E13" s="19">
        <f>'4. Recurso Humano'!G5</f>
        <v>31516290</v>
      </c>
    </row>
    <row r="14" spans="1:5" ht="24.75" x14ac:dyDescent="0.2">
      <c r="A14" s="16" t="s">
        <v>270</v>
      </c>
      <c r="B14" s="16" t="s">
        <v>273</v>
      </c>
      <c r="C14" s="16" t="s">
        <v>272</v>
      </c>
      <c r="D14" s="16" t="s">
        <v>264</v>
      </c>
      <c r="E14" s="19">
        <f>'4. Recurso Humano'!G6</f>
        <v>31516290</v>
      </c>
    </row>
    <row r="15" spans="1:5" ht="24.75" x14ac:dyDescent="0.2">
      <c r="A15" s="16" t="s">
        <v>270</v>
      </c>
      <c r="B15" s="16" t="s">
        <v>274</v>
      </c>
      <c r="C15" s="16" t="s">
        <v>272</v>
      </c>
      <c r="D15" s="16" t="s">
        <v>264</v>
      </c>
      <c r="E15" s="19">
        <f>'4. Recurso Humano'!G7</f>
        <v>31516290</v>
      </c>
    </row>
    <row r="16" spans="1:5" x14ac:dyDescent="0.2">
      <c r="A16" s="10" t="s">
        <v>275</v>
      </c>
      <c r="B16" s="10"/>
      <c r="C16" s="10"/>
      <c r="D16" s="10"/>
      <c r="E16" s="23">
        <f>SUM(E13:E15)</f>
        <v>94548870</v>
      </c>
    </row>
    <row r="18" spans="1:5" ht="27.75" customHeight="1" x14ac:dyDescent="0.2">
      <c r="A18" s="2" t="s">
        <v>276</v>
      </c>
      <c r="B18" s="2"/>
      <c r="C18" s="2"/>
      <c r="D18" s="2"/>
      <c r="E18" s="27">
        <f>E7+E9+E11+E16</f>
        <v>102111470</v>
      </c>
    </row>
    <row r="20" spans="1:5" x14ac:dyDescent="0.2">
      <c r="A20" s="7" t="s">
        <v>277</v>
      </c>
      <c r="B20" s="7"/>
      <c r="C20" s="7"/>
      <c r="D20" s="7"/>
      <c r="E20" s="7"/>
    </row>
    <row r="21" spans="1:5" x14ac:dyDescent="0.2">
      <c r="A21" s="1" t="s">
        <v>278</v>
      </c>
      <c r="B21" s="1"/>
      <c r="C21" s="1"/>
      <c r="D21" s="1"/>
      <c r="E21" s="1"/>
    </row>
    <row r="22" spans="1:5" x14ac:dyDescent="0.2">
      <c r="A22" s="1" t="s">
        <v>279</v>
      </c>
      <c r="B22" s="1"/>
      <c r="C22" s="1"/>
      <c r="D22" s="1"/>
      <c r="E22" s="1"/>
    </row>
    <row r="23" spans="1:5" x14ac:dyDescent="0.2">
      <c r="A23" s="1" t="s">
        <v>280</v>
      </c>
      <c r="B23" s="1"/>
      <c r="C23" s="1"/>
      <c r="D23" s="1"/>
      <c r="E23" s="1"/>
    </row>
    <row r="24" spans="1:5" x14ac:dyDescent="0.2">
      <c r="A24" s="1" t="s">
        <v>281</v>
      </c>
      <c r="B24" s="1"/>
      <c r="C24" s="1"/>
      <c r="D24" s="1"/>
      <c r="E24" s="1"/>
    </row>
    <row r="25" spans="1:5" x14ac:dyDescent="0.2">
      <c r="A25" s="1" t="s">
        <v>282</v>
      </c>
      <c r="B25" s="1"/>
      <c r="C25" s="1"/>
      <c r="D25" s="1"/>
      <c r="E25" s="1"/>
    </row>
    <row r="26" spans="1:5" x14ac:dyDescent="0.2">
      <c r="A26" s="1" t="s">
        <v>283</v>
      </c>
      <c r="B26" s="1"/>
      <c r="C26" s="1"/>
      <c r="D26" s="1"/>
      <c r="E26" s="1"/>
    </row>
  </sheetData>
  <mergeCells count="16">
    <mergeCell ref="A26:E26"/>
    <mergeCell ref="A21:E21"/>
    <mergeCell ref="A22:E22"/>
    <mergeCell ref="A23:E23"/>
    <mergeCell ref="A24:E24"/>
    <mergeCell ref="A25:E25"/>
    <mergeCell ref="A10:E10"/>
    <mergeCell ref="A12:E12"/>
    <mergeCell ref="A16:D16"/>
    <mergeCell ref="A18:D18"/>
    <mergeCell ref="A20:E20"/>
    <mergeCell ref="A1:E1"/>
    <mergeCell ref="A2:E2"/>
    <mergeCell ref="A4:E4"/>
    <mergeCell ref="A7:D7"/>
    <mergeCell ref="A8:E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0. Módulos Sistema</vt:lpstr>
      <vt:lpstr>1. Hardware</vt:lpstr>
      <vt:lpstr>2. Software</vt:lpstr>
      <vt:lpstr>3. Arquitectura Red</vt:lpstr>
      <vt:lpstr>4. Recurso Humano</vt:lpstr>
      <vt:lpstr>5. Comparativo Proveedores</vt:lpstr>
      <vt:lpstr>6. Costo Total 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2026-06-23T00:06:28Z</dcterms:created>
  <dcterms:modified xsi:type="dcterms:W3CDTF">2026-06-23T00:06:28Z</dcterms:modified>
  <dc:language>en-US</dc:language>
</cp:coreProperties>
</file>