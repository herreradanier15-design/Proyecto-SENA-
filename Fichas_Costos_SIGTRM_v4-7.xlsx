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Modulos Sistema" sheetId="1" state="visible" r:id="rId1"/>
    <sheet xmlns:r="http://schemas.openxmlformats.org/officeDocument/2006/relationships" name="1. Hardware" sheetId="2" state="visible" r:id="rId2"/>
    <sheet xmlns:r="http://schemas.openxmlformats.org/officeDocument/2006/relationships" name="2. Software" sheetId="3" state="visible" r:id="rId3"/>
    <sheet xmlns:r="http://schemas.openxmlformats.org/officeDocument/2006/relationships" name="3. Arquitectura Red" sheetId="4" state="visible" r:id="rId4"/>
    <sheet xmlns:r="http://schemas.openxmlformats.org/officeDocument/2006/relationships" name="4. Recurso Humano" sheetId="5" state="visible" r:id="rId5"/>
    <sheet xmlns:r="http://schemas.openxmlformats.org/officeDocument/2006/relationships" name="5. Comparativo Proveedores" sheetId="6" state="visible" r:id="rId6"/>
    <sheet xmlns:r="http://schemas.openxmlformats.org/officeDocument/2006/relationships" name="6. Costo Total Proyec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777777"/>
      <sz val="9"/>
    </font>
    <font>
      <name val="Arial"/>
      <i val="1"/>
      <color rgb="001B3A5C"/>
      <sz val="10"/>
    </font>
    <font>
      <name val="Arial"/>
      <b val="1"/>
      <color rgb="00FFFFFF"/>
      <sz val="12"/>
    </font>
    <font>
      <name val="Arial"/>
      <color rgb="001155CC"/>
      <sz val="10"/>
      <u val="single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AF0F6"/>
      </patternFill>
    </fill>
    <fill>
      <patternFill patternType="solid">
        <fgColor rgb="00FFF2CC"/>
      </patternFill>
    </fill>
    <fill>
      <patternFill patternType="solid">
        <fgColor rgb="002E6DA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/>
    </xf>
    <xf numFmtId="164" fontId="5" fillId="5" borderId="1" applyAlignment="1" pivotButton="0" quotePrefix="0" xfId="0">
      <alignment horizontal="right" vertical="center" wrapText="1"/>
    </xf>
    <xf numFmtId="0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4" fontId="3" fillId="2" borderId="0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3" fontId="3" fillId="7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48" customWidth="1" min="4" max="4"/>
    <col width="30" customWidth="1" min="5" max="5"/>
    <col width="14" customWidth="1" min="6" max="6"/>
  </cols>
  <sheetData>
    <row r="1" ht="30" customHeight="1">
      <c r="A1" s="1" t="inlineStr">
        <is>
          <t>FICHA TÉCNICA – MÓDULOS DEL SISTEMA  |  SIGTRM – La Caqueteña</t>
        </is>
      </c>
    </row>
    <row r="2">
      <c r="A2" s="2" t="inlineStr">
        <is>
          <t>Proyecto: Sistema Inteligente de Gestión para Taller de Reparación de Muebles  |  Fecha: Mayo 2025</t>
        </is>
      </c>
    </row>
    <row r="3" ht="20" customHeight="1">
      <c r="A3" s="3" t="inlineStr">
        <is>
          <t>Código</t>
        </is>
      </c>
      <c r="B3" s="3" t="inlineStr">
        <is>
          <t>Módulo</t>
        </is>
      </c>
      <c r="C3" s="3" t="inlineStr">
        <is>
          <t>Descripción</t>
        </is>
      </c>
      <c r="D3" s="3" t="inlineStr">
        <is>
          <t>Funciones Principales</t>
        </is>
      </c>
      <c r="E3" s="3" t="inlineStr">
        <is>
          <t>Usuarios con Acceso</t>
        </is>
      </c>
      <c r="F3" s="3" t="inlineStr">
        <is>
          <t>Prioridad</t>
        </is>
      </c>
    </row>
    <row r="4" ht="70" customHeight="1">
      <c r="A4" s="4" t="inlineStr">
        <is>
          <t>GU</t>
        </is>
      </c>
      <c r="B4" s="5" t="inlineStr">
        <is>
          <t>Gestión de Usuarios</t>
        </is>
      </c>
      <c r="C4" s="6" t="inlineStr">
        <is>
          <t>Administración de perfiles de acceso, roles y seguridad del sistema.</t>
        </is>
      </c>
      <c r="D4" s="6" t="inlineStr">
        <is>
          <t>• Crear/editar/eliminar usuarios
• Asignar roles
• Bloqueo por intentos fallidos
• Bitácora de auditoría</t>
        </is>
      </c>
      <c r="E4" s="6" t="inlineStr">
        <is>
          <t>Representante Legal, Administrador</t>
        </is>
      </c>
      <c r="F4" s="7" t="inlineStr">
        <is>
          <t>Alta</t>
        </is>
      </c>
    </row>
    <row r="5" ht="70" customHeight="1">
      <c r="A5" s="8" t="inlineStr">
        <is>
          <t>MUE</t>
        </is>
      </c>
      <c r="B5" s="9" t="inlineStr">
        <is>
          <t>Registro y Gestión de Muebles</t>
        </is>
      </c>
      <c r="C5" s="10" t="inlineStr">
        <is>
          <t>Registro digital de muebles entrantes con categorización por tipo y daño.</t>
        </is>
      </c>
      <c r="D5" s="10" t="inlineStr">
        <is>
          <t>• Registro de mueble con fotos
• Categorización (madera, tapizado, modular, antiguo)
• Vinculación a cliente y orden</t>
        </is>
      </c>
      <c r="E5" s="10" t="inlineStr">
        <is>
          <t>Administrador, Reparador</t>
        </is>
      </c>
      <c r="F5" s="7" t="inlineStr">
        <is>
          <t>Alta</t>
        </is>
      </c>
    </row>
    <row r="6" ht="70" customHeight="1">
      <c r="A6" s="4" t="inlineStr">
        <is>
          <t>INV</t>
        </is>
      </c>
      <c r="B6" s="5" t="inlineStr">
        <is>
          <t>Control de Inventario</t>
        </is>
      </c>
      <c r="C6" s="6" t="inlineStr">
        <is>
          <t>Catálogo digital de materiales e insumos del taller con control de stock.</t>
        </is>
      </c>
      <c r="D6" s="6" t="inlineStr">
        <is>
          <t>• Registro de insumos (maderas, telas, pinturas, herrajes)
• Descuento automático al registrar reparación
• Alertas de stock bajo</t>
        </is>
      </c>
      <c r="E6" s="6" t="inlineStr">
        <is>
          <t>Administrador, Logística</t>
        </is>
      </c>
      <c r="F6" s="7" t="inlineStr">
        <is>
          <t>Alta</t>
        </is>
      </c>
    </row>
    <row r="7" ht="70" customHeight="1">
      <c r="A7" s="8" t="inlineStr">
        <is>
          <t>NOT</t>
        </is>
      </c>
      <c r="B7" s="9" t="inlineStr">
        <is>
          <t>Notificaciones</t>
        </is>
      </c>
      <c r="C7" s="10" t="inlineStr">
        <is>
          <t>Sistema de alertas internas y notificaciones automáticas al cliente.</t>
        </is>
      </c>
      <c r="D7" s="10" t="inlineStr">
        <is>
          <t>• Correo automático al cliente por cambio de etapa
• Alertas internas por demora
• Integración SendGrid</t>
        </is>
      </c>
      <c r="E7" s="10" t="inlineStr">
        <is>
          <t>Todos los roles</t>
        </is>
      </c>
      <c r="F7" s="11" t="inlineStr">
        <is>
          <t>Media</t>
        </is>
      </c>
    </row>
    <row r="8" ht="70" customHeight="1">
      <c r="A8" s="4" t="inlineStr">
        <is>
          <t>REP</t>
        </is>
      </c>
      <c r="B8" s="5" t="inlineStr">
        <is>
          <t>Reportes y Analítica</t>
        </is>
      </c>
      <c r="C8" s="6" t="inlineStr">
        <is>
          <t>Generación de informes operativos y tablero de indicadores en tiempo real.</t>
        </is>
      </c>
      <c r="D8" s="6" t="inlineStr">
        <is>
          <t>• Tablero con muebles activos por etapa
• Tiempo promedio de reparación
• Exportación PDF y Excel</t>
        </is>
      </c>
      <c r="E8" s="6" t="inlineStr">
        <is>
          <t>Representante Legal, Administrador</t>
        </is>
      </c>
      <c r="F8" s="11" t="inlineStr">
        <is>
          <t>Media</t>
        </is>
      </c>
    </row>
    <row r="9" ht="70" customHeight="1">
      <c r="A9" s="8" t="inlineStr">
        <is>
          <t>CLI</t>
        </is>
      </c>
      <c r="B9" s="9" t="inlineStr">
        <is>
          <t>Gestión de Clientes</t>
        </is>
      </c>
      <c r="C9" s="10" t="inlineStr">
        <is>
          <t>Registro y consulta de clientes del taller con historial de servicios.</t>
        </is>
      </c>
      <c r="D9" s="10" t="inlineStr">
        <is>
          <t>• Crear/editar clientes
• Historial de muebles y órdenes
• Búsqueda rápida</t>
        </is>
      </c>
      <c r="E9" s="10" t="inlineStr">
        <is>
          <t>Administrador</t>
        </is>
      </c>
      <c r="F9" s="7" t="inlineStr">
        <is>
          <t>Alta</t>
        </is>
      </c>
    </row>
    <row r="10" ht="70" customHeight="1">
      <c r="A10" s="4" t="inlineStr">
        <is>
          <t>ORD</t>
        </is>
      </c>
      <c r="B10" s="5" t="inlineStr">
        <is>
          <t>Órdenes de Trabajo</t>
        </is>
      </c>
      <c r="C10" s="6" t="inlineStr">
        <is>
          <t>Seguimiento del proceso productivo en 6 etapas desde recepción hasta entrega.</t>
        </is>
      </c>
      <c r="D10" s="6" t="inlineStr">
        <is>
          <t>• Crear orden vinculada a cliente y mueble
• Trazabilidad: Recepción→Diagnóstico→Reparación→Inspección→Listo→Entregado
• Registro de tiempos por etapa</t>
        </is>
      </c>
      <c r="E10" s="6" t="inlineStr">
        <is>
          <t>Administrador, Reparador</t>
        </is>
      </c>
      <c r="F10" s="7" t="inlineStr">
        <is>
          <t>Alta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0" customWidth="1" min="4" max="4"/>
    <col width="18" customWidth="1" min="5" max="5"/>
    <col width="18" customWidth="1" min="6" max="6"/>
    <col width="10" customWidth="1" min="7" max="7"/>
    <col width="28" customWidth="1" min="8" max="8"/>
    <col width="14" customWidth="1" min="9" max="9"/>
  </cols>
  <sheetData>
    <row r="1" ht="30" customHeight="1">
      <c r="A1" s="1" t="inlineStr">
        <is>
          <t>FICHA TÉCNICA – HARDWARE  |  SIGTRM – La Caqueteña</t>
        </is>
      </c>
    </row>
    <row r="2">
      <c r="A2" s="2" t="inlineStr">
        <is>
          <t>Proyecto: Sistema SIGTRM – Taller La Caqueteña  |  Fecha estimación: Mayo 2025</t>
        </is>
      </c>
    </row>
    <row r="3">
      <c r="A3" s="3" t="inlineStr">
        <is>
          <t>#</t>
        </is>
      </c>
      <c r="B3" s="3" t="inlineStr">
        <is>
          <t>Componente</t>
        </is>
      </c>
      <c r="C3" s="3" t="inlineStr">
        <is>
          <t>Descripción / Especificación</t>
        </is>
      </c>
      <c r="D3" s="3" t="inlineStr">
        <is>
          <t>Cantidad</t>
        </is>
      </c>
      <c r="E3" s="3" t="inlineStr">
        <is>
          <t>Costo Unit. (COP)</t>
        </is>
      </c>
      <c r="F3" s="3" t="inlineStr">
        <is>
          <t>Costo Total (COP)</t>
        </is>
      </c>
      <c r="G3" s="3" t="inlineStr">
        <is>
          <t>Tipo</t>
        </is>
      </c>
      <c r="H3" s="3" t="inlineStr">
        <is>
          <t>Notas</t>
        </is>
      </c>
      <c r="I3" s="3" t="inlineStr">
        <is>
          <t>Enlace ML</t>
        </is>
      </c>
    </row>
    <row r="4">
      <c r="A4" s="12" t="inlineStr">
        <is>
          <t>A. Equipos de Desarrollo (4 desarrolladores)</t>
        </is>
      </c>
    </row>
    <row r="5">
      <c r="A5" s="13" t="n">
        <v>1</v>
      </c>
      <c r="B5" s="6" t="inlineStr">
        <is>
          <t>Laptop de desarrollo</t>
        </is>
      </c>
      <c r="C5" s="6" t="inlineStr">
        <is>
          <t>Intel Core i5/Ryzen 5, 16 GB RAM, SSD 512 GB (Lenovo IdeaPad 3 o ASUS Vivobook 16)</t>
        </is>
      </c>
      <c r="D5" s="14" t="n">
        <v>1</v>
      </c>
      <c r="E5" s="15" t="n">
        <v>2300000</v>
      </c>
      <c r="F5" s="15" t="n">
        <v>2300000</v>
      </c>
      <c r="G5" s="6" t="inlineStr">
        <is>
          <t>CAPEX</t>
        </is>
      </c>
      <c r="H5" s="6" t="inlineStr">
        <is>
          <t>Costo único – adquisición</t>
        </is>
      </c>
      <c r="I5" s="41">
        <f>HYPERLINK("https://www.mercadolibre.com.co/portatil-lenovo-ideapad-slim3-15amn8-ryzen-5-7520u-ssd-512gb-16gb-fhd-156-windows-11-home/p/MCO43695391","Ver en ML")</f>
        <v/>
      </c>
    </row>
    <row r="6">
      <c r="A6" s="16" t="n">
        <v>2</v>
      </c>
      <c r="B6" s="10" t="inlineStr">
        <is>
          <t>Monitor adicional</t>
        </is>
      </c>
      <c r="C6" s="10" t="inlineStr">
        <is>
          <t>Monitor 24" Full HD IPS – segundo pantalla para productividad</t>
        </is>
      </c>
      <c r="D6" s="17" t="n">
        <v>2</v>
      </c>
      <c r="E6" s="18" t="n">
        <v>480000</v>
      </c>
      <c r="F6" s="18" t="n">
        <v>960000</v>
      </c>
      <c r="G6" s="10" t="inlineStr">
        <is>
          <t>CAPEX</t>
        </is>
      </c>
      <c r="H6" s="10" t="inlineStr">
        <is>
          <t>Costo único – adquisición</t>
        </is>
      </c>
      <c r="I6" s="42">
        <f>HYPERLINK("https://listado.mercadolibre.com.co/monitor-lg-24-full-hd-ips#D[A:monitor%20lg%2024%20full%20hd%20ips]","Ver en ML")</f>
        <v/>
      </c>
    </row>
    <row r="7">
      <c r="A7" s="13" t="n">
        <v>3</v>
      </c>
      <c r="B7" s="6" t="inlineStr">
        <is>
          <t>Mouse + teclado</t>
        </is>
      </c>
      <c r="C7" s="6" t="inlineStr">
        <is>
          <t>Periféricos USB / inalámbrico – uno por desarrollador</t>
        </is>
      </c>
      <c r="D7" s="14" t="n">
        <v>4</v>
      </c>
      <c r="E7" s="15" t="n">
        <v>85000</v>
      </c>
      <c r="F7" s="15" t="n">
        <v>340000</v>
      </c>
      <c r="G7" s="6" t="inlineStr">
        <is>
          <t>CAPEX</t>
        </is>
      </c>
      <c r="H7" s="6" t="inlineStr">
        <is>
          <t>Costo único – adquisición</t>
        </is>
      </c>
      <c r="I7" s="41">
        <f>HYPERLINK("https://listado.mercadolibre.com.co/mouse-teclado-usb","Buscar ML")</f>
        <v/>
      </c>
    </row>
    <row r="8">
      <c r="A8" s="16" t="n">
        <v>4</v>
      </c>
      <c r="B8" s="10" t="inlineStr">
        <is>
          <t>Disco duro externo</t>
        </is>
      </c>
      <c r="C8" s="10" t="inlineStr">
        <is>
          <t>SSD 1 TB para backups de código y base de datos</t>
        </is>
      </c>
      <c r="D8" s="17" t="n">
        <v>1</v>
      </c>
      <c r="E8" s="18" t="n">
        <v>150000</v>
      </c>
      <c r="F8" s="18" t="n">
        <v>150000</v>
      </c>
      <c r="G8" s="10" t="inlineStr">
        <is>
          <t>CAPEX</t>
        </is>
      </c>
      <c r="H8" s="10" t="inlineStr">
        <is>
          <t>Costo único – adquisición</t>
        </is>
      </c>
      <c r="I8" s="42">
        <f>HYPERLINK("https://listado.mercadolibre.com.co/disco-duro-externo-ssd-1tb","Buscar ML")</f>
        <v/>
      </c>
    </row>
    <row r="9">
      <c r="A9" s="13" t="n">
        <v>5</v>
      </c>
      <c r="B9" s="6" t="inlineStr">
        <is>
          <t>UPS / regulador</t>
        </is>
      </c>
      <c r="C9" s="6" t="inlineStr">
        <is>
          <t>UPS 600 VA – protección ante cortes eléctricos</t>
        </is>
      </c>
      <c r="D9" s="14" t="n">
        <v>2</v>
      </c>
      <c r="E9" s="15" t="n">
        <v>200000</v>
      </c>
      <c r="F9" s="15" t="n">
        <v>400000</v>
      </c>
      <c r="G9" s="6" t="inlineStr">
        <is>
          <t>CAPEX</t>
        </is>
      </c>
      <c r="H9" s="6" t="inlineStr">
        <is>
          <t>Costo único – adquisición</t>
        </is>
      </c>
      <c r="I9" s="41">
        <f>HYPERLINK("https://listado.mercadolibre.com.co/ups-600va","Buscar ML")</f>
        <v/>
      </c>
    </row>
    <row r="10">
      <c r="A10" s="19" t="inlineStr">
        <is>
          <t>SUBTOTAL – Equipos de Desarrollo</t>
        </is>
      </c>
      <c r="F10" s="20">
        <f>SUM(F5:F9)</f>
        <v/>
      </c>
      <c r="I10" s="43" t="n"/>
    </row>
    <row r="11">
      <c r="A11" s="12" t="inlineStr">
        <is>
          <t>B. Infraestructura de Red – Taller La Caqueteña (arquitectura 100% cloud – sin servidor local)</t>
        </is>
      </c>
    </row>
    <row r="12">
      <c r="A12" s="13" t="n">
        <v>1</v>
      </c>
      <c r="B12" s="6" t="inlineStr">
        <is>
          <t>Router WiFi 6</t>
        </is>
      </c>
      <c r="C12" s="6" t="inlineStr">
        <is>
          <t>TP-Link Archer AX23 – doble banda, cubre área del taller</t>
        </is>
      </c>
      <c r="D12" s="14" t="n">
        <v>1</v>
      </c>
      <c r="E12" s="15" t="n">
        <v>280000</v>
      </c>
      <c r="F12" s="15" t="n">
        <v>280000</v>
      </c>
      <c r="G12" s="6" t="inlineStr">
        <is>
          <t>CAPEX</t>
        </is>
      </c>
      <c r="H12" s="6" t="inlineStr">
        <is>
          <t>Costo único – adquisición</t>
        </is>
      </c>
      <c r="I12" s="42">
        <f>HYPERLINK("https://listado.mercadolibre.com.co/router-wifi-6-tp-link-ax23","Buscar ML")</f>
        <v/>
      </c>
    </row>
    <row r="13">
      <c r="A13" s="16" t="n">
        <v>2</v>
      </c>
      <c r="B13" s="10" t="inlineStr">
        <is>
          <t>Switch 8 puertos</t>
        </is>
      </c>
      <c r="C13" s="10" t="inlineStr">
        <is>
          <t>Fast Ethernet – cableado interno taller</t>
        </is>
      </c>
      <c r="D13" s="17" t="n">
        <v>1</v>
      </c>
      <c r="E13" s="18" t="n">
        <v>95000</v>
      </c>
      <c r="F13" s="18" t="n">
        <v>95000</v>
      </c>
      <c r="G13" s="10" t="inlineStr">
        <is>
          <t>CAPEX</t>
        </is>
      </c>
      <c r="H13" s="10" t="inlineStr">
        <is>
          <t>Costo único – adquisición</t>
        </is>
      </c>
      <c r="I13" s="41">
        <f>HYPERLINK("https://listado.mercadolibre.com.co/switch-8-puertos-fast-ethernet","Buscar ML")</f>
        <v/>
      </c>
    </row>
    <row r="14">
      <c r="A14" s="13" t="n">
        <v>3</v>
      </c>
      <c r="B14" s="6" t="inlineStr">
        <is>
          <t>Cable UTP Cat 6</t>
        </is>
      </c>
      <c r="C14" s="6" t="inlineStr">
        <is>
          <t>Rollo 100 m + accesorios (RJ45, canaletas)</t>
        </is>
      </c>
      <c r="D14" s="14" t="n">
        <v>1</v>
      </c>
      <c r="E14" s="15" t="n">
        <v>120000</v>
      </c>
      <c r="F14" s="15" t="n">
        <v>120000</v>
      </c>
      <c r="G14" s="6" t="inlineStr">
        <is>
          <t>CAPEX</t>
        </is>
      </c>
      <c r="H14" s="6" t="inlineStr">
        <is>
          <t>Costo único – adquisición</t>
        </is>
      </c>
      <c r="I14" s="42">
        <f>HYPERLINK("https://listado.mercadolibre.com.co/cable-utp-cat6-100m","Buscar ML")</f>
        <v/>
      </c>
    </row>
    <row r="15">
      <c r="A15" s="16" t="n">
        <v>4</v>
      </c>
      <c r="B15" s="10" t="inlineStr">
        <is>
          <t>Tablet Android (operarios)</t>
        </is>
      </c>
      <c r="C15" s="10" t="inlineStr">
        <is>
          <t>Samsung Galaxy Tab A9 – registro de estados y fotos en taller</t>
        </is>
      </c>
      <c r="D15" s="17" t="n">
        <v>2</v>
      </c>
      <c r="E15" s="18" t="n">
        <v>850000</v>
      </c>
      <c r="F15" s="18" t="n">
        <v>1700000</v>
      </c>
      <c r="G15" s="10" t="inlineStr">
        <is>
          <t>CAPEX</t>
        </is>
      </c>
      <c r="H15" s="10" t="inlineStr">
        <is>
          <t>Costo único – adquisición</t>
        </is>
      </c>
      <c r="I15" s="41">
        <f>HYPERLINK("https://listado.mercadolibre.com.co/samsung-galaxy-tab-a9","Ver en ML")</f>
        <v/>
      </c>
    </row>
    <row r="16">
      <c r="A16" s="19" t="inlineStr">
        <is>
          <t>SUBTOTAL – Infraestructura Red Taller</t>
        </is>
      </c>
      <c r="F16" s="20">
        <f>SUM(F12:F15)</f>
        <v/>
      </c>
      <c r="I16" s="43" t="n"/>
    </row>
    <row r="17">
      <c r="A17" s="21" t="inlineStr">
        <is>
          <t>TOTAL HARDWARE</t>
        </is>
      </c>
      <c r="F17" s="22">
        <f>F10+F16</f>
        <v/>
      </c>
      <c r="I17" s="44" t="n"/>
    </row>
  </sheetData>
  <mergeCells count="10">
    <mergeCell ref="A4:H4"/>
    <mergeCell ref="A16:E16"/>
    <mergeCell ref="G16:H16"/>
    <mergeCell ref="A10:E10"/>
    <mergeCell ref="G10:H10"/>
    <mergeCell ref="A2:H2"/>
    <mergeCell ref="A11:H11"/>
    <mergeCell ref="F17:H17"/>
    <mergeCell ref="A1:H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2" customWidth="1" min="4" max="4"/>
    <col width="18" customWidth="1" min="5" max="5"/>
    <col width="8" customWidth="1" min="6" max="6"/>
    <col width="18" customWidth="1" min="7" max="7"/>
    <col width="28" customWidth="1" min="8" max="8"/>
  </cols>
  <sheetData>
    <row r="1" ht="30" customHeight="1">
      <c r="A1" s="1" t="inlineStr">
        <is>
          <t>FICHA TÉCNICA – SOFTWARE Y LICENCIAS  |  SIGTRM – La Caqueteña</t>
        </is>
      </c>
    </row>
    <row r="2">
      <c r="A2" s="2" t="inlineStr">
        <is>
          <t>Proyecto: Sistema SIGTRM  |  Fecha: Mayo 2025</t>
        </is>
      </c>
    </row>
    <row r="3">
      <c r="A3" s="3" t="inlineStr">
        <is>
          <t>#</t>
        </is>
      </c>
      <c r="B3" s="3" t="inlineStr">
        <is>
          <t>Software / Servicio</t>
        </is>
      </c>
      <c r="C3" s="3" t="inlineStr">
        <is>
          <t>Descripción</t>
        </is>
      </c>
      <c r="D3" s="3" t="inlineStr">
        <is>
          <t>Tipo Costo</t>
        </is>
      </c>
      <c r="E3" s="3" t="inlineStr">
        <is>
          <t>Costo/mes (COP)</t>
        </is>
      </c>
      <c r="F3" s="3" t="inlineStr">
        <is>
          <t>Meses</t>
        </is>
      </c>
      <c r="G3" s="3" t="inlineStr">
        <is>
          <t>Costo Total (COP)</t>
        </is>
      </c>
      <c r="H3" s="3" t="inlineStr">
        <is>
          <t>Notas</t>
        </is>
      </c>
    </row>
    <row r="4">
      <c r="A4" s="12" t="inlineStr">
        <is>
          <t>A. Stack Tecnológico – Open Source / Gratuito (sin costo de licencias)</t>
        </is>
      </c>
    </row>
    <row r="5">
      <c r="A5" s="13" t="n">
        <v>1</v>
      </c>
      <c r="B5" s="6" t="inlineStr">
        <is>
          <t>React.js</t>
        </is>
      </c>
      <c r="C5" s="6" t="inlineStr">
        <is>
          <t>Frontend SPA – librería JS. Open source, sin costo de licencia.</t>
        </is>
      </c>
      <c r="D5" s="6" t="inlineStr">
        <is>
          <t>Gratis</t>
        </is>
      </c>
      <c r="E5" s="15" t="n">
        <v>0</v>
      </c>
      <c r="F5" s="13" t="n">
        <v>18</v>
      </c>
      <c r="G5" s="15" t="n">
        <v>0</v>
      </c>
      <c r="H5" s="6" t="inlineStr">
        <is>
          <t>Sin costo</t>
        </is>
      </c>
    </row>
    <row r="6">
      <c r="A6" s="16" t="n">
        <v>2</v>
      </c>
      <c r="B6" s="10" t="inlineStr">
        <is>
          <t>Node.js + Express</t>
        </is>
      </c>
      <c r="C6" s="10" t="inlineStr">
        <is>
          <t>Runtime backend + framework REST API. Open source.</t>
        </is>
      </c>
      <c r="D6" s="10" t="inlineStr">
        <is>
          <t>Gratis</t>
        </is>
      </c>
      <c r="E6" s="18" t="n">
        <v>0</v>
      </c>
      <c r="F6" s="16" t="n">
        <v>18</v>
      </c>
      <c r="G6" s="18" t="n">
        <v>0</v>
      </c>
      <c r="H6" s="10" t="inlineStr">
        <is>
          <t>Sin costo</t>
        </is>
      </c>
    </row>
    <row r="7">
      <c r="A7" s="13" t="n">
        <v>3</v>
      </c>
      <c r="B7" s="6" t="inlineStr">
        <is>
          <t>PostgreSQL</t>
        </is>
      </c>
      <c r="C7" s="6" t="inlineStr">
        <is>
          <t>Motor de base de datos relacional. Open source.</t>
        </is>
      </c>
      <c r="D7" s="6" t="inlineStr">
        <is>
          <t>Gratis</t>
        </is>
      </c>
      <c r="E7" s="15" t="n">
        <v>0</v>
      </c>
      <c r="F7" s="13" t="n">
        <v>18</v>
      </c>
      <c r="G7" s="15" t="n">
        <v>0</v>
      </c>
      <c r="H7" s="6" t="inlineStr">
        <is>
          <t>Sin costo</t>
        </is>
      </c>
    </row>
    <row r="8">
      <c r="A8" s="16" t="n">
        <v>4</v>
      </c>
      <c r="B8" s="10" t="inlineStr">
        <is>
          <t>Git + GitHub Free</t>
        </is>
      </c>
      <c r="C8" s="10" t="inlineStr">
        <is>
          <t>Control de versiones + repositorio privado (plan gratuito).</t>
        </is>
      </c>
      <c r="D8" s="10" t="inlineStr">
        <is>
          <t>Gratis</t>
        </is>
      </c>
      <c r="E8" s="18" t="n">
        <v>0</v>
      </c>
      <c r="F8" s="16" t="n">
        <v>18</v>
      </c>
      <c r="G8" s="18" t="n">
        <v>0</v>
      </c>
      <c r="H8" s="10" t="inlineStr">
        <is>
          <t>Sin costo</t>
        </is>
      </c>
    </row>
    <row r="9">
      <c r="A9" s="13" t="n">
        <v>5</v>
      </c>
      <c r="B9" s="6" t="inlineStr">
        <is>
          <t>VS Code</t>
        </is>
      </c>
      <c r="C9" s="6" t="inlineStr">
        <is>
          <t>IDE de desarrollo. Open source – Microsoft.</t>
        </is>
      </c>
      <c r="D9" s="6" t="inlineStr">
        <is>
          <t>Gratis</t>
        </is>
      </c>
      <c r="E9" s="15" t="n">
        <v>0</v>
      </c>
      <c r="F9" s="13" t="n">
        <v>18</v>
      </c>
      <c r="G9" s="15" t="n">
        <v>0</v>
      </c>
      <c r="H9" s="6" t="inlineStr">
        <is>
          <t>Sin costo</t>
        </is>
      </c>
    </row>
    <row r="10">
      <c r="A10" s="16" t="n">
        <v>6</v>
      </c>
      <c r="B10" s="10" t="inlineStr">
        <is>
          <t>Postman Free</t>
        </is>
      </c>
      <c r="C10" s="10" t="inlineStr">
        <is>
          <t>Pruebas y documentación de API REST.</t>
        </is>
      </c>
      <c r="D10" s="10" t="inlineStr">
        <is>
          <t>Gratis</t>
        </is>
      </c>
      <c r="E10" s="18" t="n">
        <v>0</v>
      </c>
      <c r="F10" s="16" t="n">
        <v>18</v>
      </c>
      <c r="G10" s="18" t="n">
        <v>0</v>
      </c>
      <c r="H10" s="10" t="inlineStr">
        <is>
          <t>Sin costo</t>
        </is>
      </c>
    </row>
    <row r="11">
      <c r="A11" s="13" t="n">
        <v>7</v>
      </c>
      <c r="B11" s="6" t="inlineStr">
        <is>
          <t>Figma Free</t>
        </is>
      </c>
      <c r="C11" s="6" t="inlineStr">
        <is>
          <t>Diseño de mockups UI/UX – plan gratuito hasta 3 proyectos.</t>
        </is>
      </c>
      <c r="D11" s="6" t="inlineStr">
        <is>
          <t>Gratis</t>
        </is>
      </c>
      <c r="E11" s="15" t="n">
        <v>0</v>
      </c>
      <c r="F11" s="13" t="n">
        <v>18</v>
      </c>
      <c r="G11" s="15" t="n">
        <v>0</v>
      </c>
      <c r="H11" s="6" t="inlineStr">
        <is>
          <t>Sin costo</t>
        </is>
      </c>
    </row>
    <row r="12">
      <c r="A12" s="16" t="n">
        <v>8</v>
      </c>
      <c r="B12" s="10" t="inlineStr">
        <is>
          <t>Trello Free</t>
        </is>
      </c>
      <c r="C12" s="10" t="inlineStr">
        <is>
          <t>Gestión ágil de tareas del equipo.</t>
        </is>
      </c>
      <c r="D12" s="10" t="inlineStr">
        <is>
          <t>Gratis</t>
        </is>
      </c>
      <c r="E12" s="18" t="n">
        <v>0</v>
      </c>
      <c r="F12" s="16" t="n">
        <v>18</v>
      </c>
      <c r="G12" s="18" t="n">
        <v>0</v>
      </c>
      <c r="H12" s="10" t="inlineStr">
        <is>
          <t>Sin costo</t>
        </is>
      </c>
    </row>
    <row r="13">
      <c r="A13" s="13" t="n">
        <v>9</v>
      </c>
      <c r="B13" s="6" t="inlineStr">
        <is>
          <t>Draw.io</t>
        </is>
      </c>
      <c r="C13" s="6" t="inlineStr">
        <is>
          <t>Diagramas de arquitectura, BD y flujos. Open source.</t>
        </is>
      </c>
      <c r="D13" s="6" t="inlineStr">
        <is>
          <t>Gratis</t>
        </is>
      </c>
      <c r="E13" s="15" t="n">
        <v>0</v>
      </c>
      <c r="F13" s="13" t="n">
        <v>18</v>
      </c>
      <c r="G13" s="15" t="n">
        <v>0</v>
      </c>
      <c r="H13" s="6" t="inlineStr">
        <is>
          <t>Sin costo</t>
        </is>
      </c>
    </row>
    <row r="14">
      <c r="A14" s="19" t="inlineStr">
        <is>
          <t>SUBTOTAL – Stack Open Source</t>
        </is>
      </c>
      <c r="G14" s="20">
        <f>SUM(G5:G13)</f>
        <v/>
      </c>
    </row>
    <row r="15">
      <c r="A15" s="12" t="inlineStr">
        <is>
          <t>B. Servicios en la Nube – Despliegue y Operación (18 meses)</t>
        </is>
      </c>
    </row>
    <row r="16">
      <c r="A16" s="13" t="n">
        <v>1</v>
      </c>
      <c r="B16" s="6" t="inlineStr">
        <is>
          <t>Cloudinary Free</t>
        </is>
      </c>
      <c r="C16" s="6" t="inlineStr">
        <is>
          <t>Almacenamiento fotografías de muebles. 25 GB gratis.</t>
        </is>
      </c>
      <c r="D16" s="6" t="inlineStr">
        <is>
          <t>Gratis</t>
        </is>
      </c>
      <c r="E16" s="15" t="n">
        <v>0</v>
      </c>
      <c r="F16" s="13" t="n">
        <v>18</v>
      </c>
      <c r="G16" s="15" t="n">
        <v>0</v>
      </c>
      <c r="H16" s="6" t="inlineStr">
        <is>
          <t>Operación en producción</t>
        </is>
      </c>
    </row>
    <row r="17">
      <c r="A17" s="16" t="n">
        <v>2</v>
      </c>
      <c r="B17" s="10" t="inlineStr">
        <is>
          <t>SendGrid Free</t>
        </is>
      </c>
      <c r="C17" s="10" t="inlineStr">
        <is>
          <t>Notificaciones automáticas al cliente. 100 emails/día gratis.</t>
        </is>
      </c>
      <c r="D17" s="10" t="inlineStr">
        <is>
          <t>Gratis</t>
        </is>
      </c>
      <c r="E17" s="18" t="n">
        <v>0</v>
      </c>
      <c r="F17" s="16" t="n">
        <v>18</v>
      </c>
      <c r="G17" s="18" t="n">
        <v>0</v>
      </c>
      <c r="H17" s="10" t="inlineStr">
        <is>
          <t>Operación en producción</t>
        </is>
      </c>
    </row>
    <row r="18">
      <c r="A18" s="19" t="inlineStr">
        <is>
          <t>SUBTOTAL – Servicios Cloud</t>
        </is>
      </c>
      <c r="G18" s="20">
        <f>SUM(G16:G17)</f>
        <v/>
      </c>
    </row>
    <row r="19">
      <c r="A19" s="21" t="inlineStr">
        <is>
          <t>TOTAL SOFTWARE Y SERVICIOS (18 meses)</t>
        </is>
      </c>
      <c r="G19" s="22">
        <f>G14+G18</f>
        <v/>
      </c>
    </row>
  </sheetData>
  <mergeCells count="9">
    <mergeCell ref="A4:H4"/>
    <mergeCell ref="A15:H15"/>
    <mergeCell ref="A19:F19"/>
    <mergeCell ref="A14:F14"/>
    <mergeCell ref="A2:H2"/>
    <mergeCell ref="G19:H19"/>
    <mergeCell ref="A18:F18"/>
    <mergeCell ref="A1:H1"/>
    <mergeCell ref="H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2" customWidth="1" min="4" max="4"/>
    <col width="16" customWidth="1" min="5" max="5"/>
    <col width="18" customWidth="1" min="6" max="6"/>
    <col width="30" customWidth="1" min="7" max="7"/>
  </cols>
  <sheetData>
    <row r="1" ht="30" customHeight="1">
      <c r="A1" s="1" t="inlineStr">
        <is>
          <t>FICHA TÉCNICA – ARQUITECTURA DE RED  |  SIGTRM – La Caqueteña</t>
        </is>
      </c>
    </row>
    <row r="2">
      <c r="A2" s="2" t="inlineStr">
        <is>
          <t>Proyecto: Sistema SIGTRM  |  Arquitectura: Cloud-first  |  Fecha: Mayo 2025</t>
        </is>
      </c>
    </row>
    <row r="3">
      <c r="A3" s="3" t="inlineStr">
        <is>
          <t>#</t>
        </is>
      </c>
      <c r="B3" s="3" t="inlineStr">
        <is>
          <t>Componente</t>
        </is>
      </c>
      <c r="C3" s="3" t="inlineStr">
        <is>
          <t>Descripción / Especificación</t>
        </is>
      </c>
      <c r="D3" s="3" t="inlineStr">
        <is>
          <t>Costo/mes o Unit. (COP)</t>
        </is>
      </c>
      <c r="E3" s="3" t="inlineStr">
        <is>
          <t>Unidades/Meses</t>
        </is>
      </c>
      <c r="F3" s="3" t="inlineStr">
        <is>
          <t>Costo Total (COP)</t>
        </is>
      </c>
      <c r="G3" s="3" t="inlineStr">
        <is>
          <t>Notas</t>
        </is>
      </c>
    </row>
    <row r="4">
      <c r="A4" s="12" t="inlineStr">
        <is>
          <t>A. Conectividad Taller</t>
        </is>
      </c>
    </row>
    <row r="5">
      <c r="A5" s="13" t="n">
        <v>1</v>
      </c>
      <c r="B5" s="6" t="inlineStr">
        <is>
          <t>Internet banda ancha taller</t>
        </is>
      </c>
      <c r="C5" s="6" t="inlineStr">
        <is>
          <t>Plan 200 Mbps Conexion Digital – conecta computadores, tablets y router del taller</t>
        </is>
      </c>
      <c r="D5" s="15" t="n">
        <v>85000</v>
      </c>
      <c r="E5" s="14" t="n">
        <v>18</v>
      </c>
      <c r="F5" s="15" t="n">
        <v>1530000</v>
      </c>
      <c r="G5" s="6" t="inlineStr">
        <is>
          <t>Conexion Digital mensual</t>
        </is>
      </c>
    </row>
    <row r="6">
      <c r="A6" s="21" t="inlineStr">
        <is>
          <t>TOTAL RED Y CONECTIVIDAD (18 meses)</t>
        </is>
      </c>
      <c r="F6" s="22">
        <f>F5</f>
        <v/>
      </c>
    </row>
  </sheetData>
  <mergeCells count="5">
    <mergeCell ref="A1:G1"/>
    <mergeCell ref="A4:G4"/>
    <mergeCell ref="A2:G2"/>
    <mergeCell ref="F6:G6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  <col width="18" customWidth="1" min="10" max="10"/>
  </cols>
  <sheetData>
    <row r="1" ht="30" customHeight="1">
      <c r="A1" s="1" t="inlineStr">
        <is>
          <t>FICHA TÉCNICA – RECURSO HUMANO  |  SIGTRM – La Caqueteña</t>
        </is>
      </c>
    </row>
    <row r="2">
      <c r="A2" s="2" t="inlineStr">
        <is>
          <t>Proyecto: SIGTRM  |  Duración: 18 meses  |  Equipo: 4 desarrolladores  |  SMLMV 2026: $1.750.905</t>
        </is>
      </c>
    </row>
    <row r="3">
      <c r="A3" s="3" t="inlineStr">
        <is>
          <t>#</t>
        </is>
      </c>
      <c r="B3" s="3" t="inlineStr">
        <is>
          <t>Nombre</t>
        </is>
      </c>
      <c r="C3" s="3" t="inlineStr">
        <is>
          <t>Rol en el Proyecto</t>
        </is>
      </c>
      <c r="D3" s="3" t="inlineStr">
        <is>
          <t>Modalidad</t>
        </is>
      </c>
      <c r="E3" s="3" t="inlineStr">
        <is>
          <t>Valor/Hora (COP)</t>
        </is>
      </c>
      <c r="F3" s="3" t="inlineStr">
        <is>
          <t>Hrs/Sem</t>
        </is>
      </c>
      <c r="G3" s="3" t="inlineStr">
        <is>
          <t>H/Día*</t>
        </is>
      </c>
      <c r="H3" s="3" t="inlineStr">
        <is>
          <t>Semanas</t>
        </is>
      </c>
      <c r="I3" s="3" t="inlineStr">
        <is>
          <t>Total Horas</t>
        </is>
      </c>
      <c r="J3" s="3" t="inlineStr">
        <is>
          <t>Costo Total (COP)</t>
        </is>
      </c>
    </row>
    <row r="4">
      <c r="A4" s="12" t="inlineStr">
        <is>
          <t>Equipo de Desarrollo – Valoración a tarifas de mercado Colombia 2026 (Jr/Mid)</t>
        </is>
      </c>
    </row>
    <row r="5">
      <c r="A5" s="13" t="n">
        <v>1</v>
      </c>
      <c r="B5" s="6" t="inlineStr">
        <is>
          <t>Danier F. Herrera C.</t>
        </is>
      </c>
      <c r="C5" s="6" t="inlineStr">
        <is>
          <t>Líder de Proyecto / Full-Stack Developer</t>
        </is>
      </c>
      <c r="D5" s="6" t="inlineStr">
        <is>
          <t>Por hora</t>
        </is>
      </c>
      <c r="E5" s="15" t="n">
        <v>25000</v>
      </c>
      <c r="F5" s="14" t="n">
        <v>20</v>
      </c>
      <c r="G5" s="23" t="n">
        <v>3.3</v>
      </c>
      <c r="H5" s="14" t="n">
        <v>78</v>
      </c>
      <c r="I5" s="24" t="n">
        <v>1560</v>
      </c>
      <c r="J5" s="15" t="n">
        <v>39000000</v>
      </c>
    </row>
    <row r="6">
      <c r="A6" s="16" t="n">
        <v>2</v>
      </c>
      <c r="B6" s="10" t="inlineStr">
        <is>
          <t>Eydy Y. Bobadilla C.</t>
        </is>
      </c>
      <c r="C6" s="10" t="inlineStr">
        <is>
          <t>Frontend Developer / Diseño UX-UI</t>
        </is>
      </c>
      <c r="D6" s="10" t="inlineStr">
        <is>
          <t>Por hora</t>
        </is>
      </c>
      <c r="E6" s="18" t="n">
        <v>22000</v>
      </c>
      <c r="F6" s="17" t="n">
        <v>18</v>
      </c>
      <c r="G6" s="25" t="n">
        <v>3</v>
      </c>
      <c r="H6" s="17" t="n">
        <v>78</v>
      </c>
      <c r="I6" s="26" t="n">
        <v>1404</v>
      </c>
      <c r="J6" s="18" t="n">
        <v>30888000</v>
      </c>
    </row>
    <row r="7">
      <c r="A7" s="13" t="n">
        <v>3</v>
      </c>
      <c r="B7" s="6" t="inlineStr">
        <is>
          <t>Jhoan S. Martínez G.</t>
        </is>
      </c>
      <c r="C7" s="6" t="inlineStr">
        <is>
          <t>Backend Developer / Base de Datos</t>
        </is>
      </c>
      <c r="D7" s="6" t="inlineStr">
        <is>
          <t>Por hora</t>
        </is>
      </c>
      <c r="E7" s="15" t="n">
        <v>22000</v>
      </c>
      <c r="F7" s="14" t="n">
        <v>18</v>
      </c>
      <c r="G7" s="23" t="n">
        <v>3</v>
      </c>
      <c r="H7" s="14" t="n">
        <v>78</v>
      </c>
      <c r="I7" s="24" t="n">
        <v>1404</v>
      </c>
      <c r="J7" s="15" t="n">
        <v>30888000</v>
      </c>
    </row>
    <row r="8">
      <c r="A8" s="16" t="n">
        <v>4</v>
      </c>
      <c r="B8" s="10" t="inlineStr">
        <is>
          <t>Santiago Ortigoza J.</t>
        </is>
      </c>
      <c r="C8" s="10" t="inlineStr">
        <is>
          <t>QA Tester / Documentación Técnica</t>
        </is>
      </c>
      <c r="D8" s="10" t="inlineStr">
        <is>
          <t>Por hora</t>
        </is>
      </c>
      <c r="E8" s="18" t="n">
        <v>18000</v>
      </c>
      <c r="F8" s="17" t="n">
        <v>15</v>
      </c>
      <c r="G8" s="25" t="n">
        <v>2.5</v>
      </c>
      <c r="H8" s="17" t="n">
        <v>78</v>
      </c>
      <c r="I8" s="26" t="n">
        <v>1170</v>
      </c>
      <c r="J8" s="18" t="n">
        <v>21060000</v>
      </c>
    </row>
    <row r="9">
      <c r="A9" s="19" t="inlineStr">
        <is>
          <t>TOTAL HORAS DEL PROYECTO</t>
        </is>
      </c>
      <c r="I9" s="27">
        <f>SUM(I5:I8)</f>
        <v/>
      </c>
    </row>
    <row r="10">
      <c r="A10" s="21" t="inlineStr">
        <is>
          <t>TOTAL RECURSO HUMANO (18 meses)</t>
        </is>
      </c>
      <c r="J10" s="22">
        <f>SUM(J5:J8)</f>
        <v/>
      </c>
    </row>
    <row r="12">
      <c r="A12" s="12" t="inlineStr">
        <is>
          <t>Referencia de mercado – Salarios Colombia 2026</t>
        </is>
      </c>
    </row>
    <row r="13">
      <c r="A13" s="28" t="inlineStr">
        <is>
          <t>Desarrollador Junior</t>
        </is>
      </c>
      <c r="F13" s="29" t="inlineStr">
        <is>
          <t>COP 2.500.000 – 3.500.000 / mes</t>
        </is>
      </c>
    </row>
    <row r="14">
      <c r="A14" s="30" t="inlineStr">
        <is>
          <t>Desarrollador Mid</t>
        </is>
      </c>
      <c r="F14" s="31" t="inlineStr">
        <is>
          <t>COP 3.500.000 – 5.500.000 / mes</t>
        </is>
      </c>
    </row>
    <row r="15">
      <c r="A15" s="28" t="inlineStr">
        <is>
          <t>Líder Técnico / Senior</t>
        </is>
      </c>
      <c r="F15" s="29" t="inlineStr">
        <is>
          <t>COP 5.000.000 – 8.000.000 / mes</t>
        </is>
      </c>
    </row>
    <row r="16">
      <c r="A16" s="32" t="inlineStr">
        <is>
          <t>*H/Día calculado sobre jornada de 6 días hábiles (lun-sab), máx. 46 h/sem – Código Sustantivo del Trabajo Colombia. SMLMV 2026: Decreto 1469 de 2025.</t>
        </is>
      </c>
    </row>
  </sheetData>
  <mergeCells count="15">
    <mergeCell ref="A9:H9"/>
    <mergeCell ref="A2:I2"/>
    <mergeCell ref="F15:J15"/>
    <mergeCell ref="J9"/>
    <mergeCell ref="A10:I10"/>
    <mergeCell ref="A15:E15"/>
    <mergeCell ref="A16:J16"/>
    <mergeCell ref="A1:I1"/>
    <mergeCell ref="A12:J12"/>
    <mergeCell ref="A4:J4"/>
    <mergeCell ref="A13:E13"/>
    <mergeCell ref="A14:E14"/>
    <mergeCell ref="F14:J14"/>
    <mergeCell ref="F13:J13"/>
    <mergeCell ref="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6" customWidth="1" min="4" max="4"/>
    <col width="10" customWidth="1" min="5" max="5"/>
    <col width="14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ANÁLISIS COMPARATIVO DE PROVEEDORES  |  SIGTRM – La Caqueteña</t>
        </is>
      </c>
    </row>
    <row r="2">
      <c r="A2" s="2" t="inlineStr">
        <is>
          <t>Criterios: Costo, Especificaciones, Garantía, Disponibilidad en Colombia, Soporte  |  Fecha: Mayo 2025</t>
        </is>
      </c>
    </row>
    <row r="3">
      <c r="A3" s="12" t="inlineStr">
        <is>
          <t>1. LAPTOPS DE DESARROLLO – Comparativo 3 proveedores</t>
        </is>
      </c>
    </row>
    <row r="4">
      <c r="A4" s="3" t="inlineStr">
        <is>
          <t>Marca/Modelo</t>
        </is>
      </c>
      <c r="B4" s="3" t="inlineStr">
        <is>
          <t>Procesador</t>
        </is>
      </c>
      <c r="C4" s="3" t="inlineStr">
        <is>
          <t>RAM</t>
        </is>
      </c>
      <c r="D4" s="3" t="inlineStr">
        <is>
          <t>Almacenamiento</t>
        </is>
      </c>
      <c r="E4" s="3" t="inlineStr">
        <is>
          <t>Garantía</t>
        </is>
      </c>
      <c r="F4" s="3" t="inlineStr">
        <is>
          <t>Precio COP</t>
        </is>
      </c>
      <c r="G4" s="3" t="inlineStr">
        <is>
          <t>Disponibilidad</t>
        </is>
      </c>
      <c r="H4" s="3" t="inlineStr">
        <is>
          <t>¿Seleccionado?</t>
        </is>
      </c>
      <c r="I4" s="45" t="inlineStr">
        <is>
          <t>Enlace ML</t>
        </is>
      </c>
    </row>
    <row r="5">
      <c r="A5" s="33" t="inlineStr">
        <is>
          <t>Lenovo IdeaPad 3 15ALC6</t>
        </is>
      </c>
      <c r="B5" s="33" t="inlineStr">
        <is>
          <t>AMD Ryzen 5 5500U</t>
        </is>
      </c>
      <c r="C5" s="33" t="inlineStr">
        <is>
          <t>16 GB DDR4</t>
        </is>
      </c>
      <c r="D5" s="33" t="inlineStr">
        <is>
          <t>SSD 512 GB NVMe</t>
        </is>
      </c>
      <c r="E5" s="33" t="inlineStr">
        <is>
          <t>1 año</t>
        </is>
      </c>
      <c r="F5" s="34" t="n">
        <v>2300000</v>
      </c>
      <c r="G5" s="33" t="inlineStr">
        <is>
          <t>Éxito, MercadoLibre CO</t>
        </is>
      </c>
      <c r="H5" s="7" t="inlineStr">
        <is>
          <t>✅ SÍ</t>
        </is>
      </c>
      <c r="I5" s="46">
        <f>HYPERLINK("https://www.mercadolibre.com.co/portatil-lenovo-ideapad-slim3-15amn8-ryzen-5-7520u-ssd-512gb-16gb-fhd-156-windows-11-home/p/MCO43695391","Ver en ML")</f>
        <v/>
      </c>
    </row>
    <row r="6">
      <c r="A6" s="35" t="inlineStr">
        <is>
          <t>ASUS VivoBook 15 X1504</t>
        </is>
      </c>
      <c r="B6" s="35" t="inlineStr">
        <is>
          <t>Intel Core i5-1235U</t>
        </is>
      </c>
      <c r="C6" s="35" t="inlineStr">
        <is>
          <t>8 GB DDR4*</t>
        </is>
      </c>
      <c r="D6" s="35" t="inlineStr">
        <is>
          <t>SSD 512 GB</t>
        </is>
      </c>
      <c r="E6" s="35" t="inlineStr">
        <is>
          <t>1 año</t>
        </is>
      </c>
      <c r="F6" s="36" t="n">
        <v>2150000</v>
      </c>
      <c r="G6" s="35" t="inlineStr">
        <is>
          <t>Falabella, Alkosto</t>
        </is>
      </c>
      <c r="H6" s="37" t="inlineStr">
        <is>
          <t>❌ No – RAM baja</t>
        </is>
      </c>
      <c r="I6" s="47">
        <f>HYPERLINK("https://listado.mercadolibre.com.co/asus-vivobook-15#D[A:asus%20vivobook%2015]","Ver en ML")</f>
        <v/>
      </c>
    </row>
    <row r="7">
      <c r="A7" s="35" t="inlineStr">
        <is>
          <t>HP Laptop 15-fd0xxx</t>
        </is>
      </c>
      <c r="B7" s="35" t="inlineStr">
        <is>
          <t>Intel Core i5-1334U</t>
        </is>
      </c>
      <c r="C7" s="35" t="inlineStr">
        <is>
          <t>16 GB DDR4</t>
        </is>
      </c>
      <c r="D7" s="35" t="inlineStr">
        <is>
          <t>SSD 512 GB</t>
        </is>
      </c>
      <c r="E7" s="35" t="inlineStr">
        <is>
          <t>1 año</t>
        </is>
      </c>
      <c r="F7" s="36" t="n">
        <v>2480000</v>
      </c>
      <c r="G7" s="35" t="inlineStr">
        <is>
          <t>HP Store Colombia</t>
        </is>
      </c>
      <c r="H7" s="37" t="inlineStr">
        <is>
          <t>❌ No – precio mayor</t>
        </is>
      </c>
      <c r="I7" s="47">
        <f>HYPERLINK("https://listado.mercadolibre.com.co/hp-laptop-15#D[A:hp%20laptop%2015]","Ver en ML")</f>
        <v/>
      </c>
    </row>
    <row r="8" ht="30" customHeight="1">
      <c r="A8" s="38" t="inlineStr">
        <is>
          <t>→ Selección: Lenovo IdeaPad 3 – mejor relación costo/especificación para desarrollo web. RAM 16 GB permite correr Docker, Node y navegador simultáneamente.</t>
        </is>
      </c>
    </row>
    <row r="10">
      <c r="A10" s="12" t="inlineStr">
        <is>
          <t>2. TABLETS PARA OPERARIOS – Comparativo 3 proveedores</t>
        </is>
      </c>
    </row>
    <row r="11">
      <c r="A11" s="3" t="inlineStr">
        <is>
          <t>Marca/Modelo</t>
        </is>
      </c>
      <c r="B11" s="3" t="inlineStr">
        <is>
          <t>Pantalla</t>
        </is>
      </c>
      <c r="C11" s="3" t="inlineStr">
        <is>
          <t>RAM / Almac.</t>
        </is>
      </c>
      <c r="D11" s="3" t="inlineStr">
        <is>
          <t>Batería</t>
        </is>
      </c>
      <c r="E11" s="3" t="inlineStr">
        <is>
          <t>Garantía</t>
        </is>
      </c>
      <c r="F11" s="3" t="inlineStr">
        <is>
          <t>Precio COP</t>
        </is>
      </c>
      <c r="G11" s="3" t="inlineStr">
        <is>
          <t>Disponibilidad</t>
        </is>
      </c>
      <c r="H11" s="3" t="inlineStr">
        <is>
          <t>¿Seleccionado?</t>
        </is>
      </c>
      <c r="I11" s="45" t="inlineStr">
        <is>
          <t>Enlace ML</t>
        </is>
      </c>
    </row>
    <row r="12">
      <c r="A12" s="33" t="inlineStr">
        <is>
          <t>Samsung Galaxy Tab A9</t>
        </is>
      </c>
      <c r="B12" s="33" t="inlineStr">
        <is>
          <t>8.7" TFT</t>
        </is>
      </c>
      <c r="C12" s="33" t="inlineStr">
        <is>
          <t>4 GB / 64 GB</t>
        </is>
      </c>
      <c r="D12" s="33" t="inlineStr">
        <is>
          <t>5.100 mAh</t>
        </is>
      </c>
      <c r="E12" s="33" t="inlineStr">
        <is>
          <t>1 año</t>
        </is>
      </c>
      <c r="F12" s="34" t="n">
        <v>850000</v>
      </c>
      <c r="G12" s="33" t="inlineStr">
        <is>
          <t>Samsung Store, Éxito</t>
        </is>
      </c>
      <c r="H12" s="7" t="inlineStr">
        <is>
          <t>✅ SÍ</t>
        </is>
      </c>
      <c r="I12" s="46">
        <f>HYPERLINK("https://listado.mercadolibre.com.co/samsung-galaxy-tab-a9","Ver en ML")</f>
        <v/>
      </c>
    </row>
    <row r="13">
      <c r="A13" s="35" t="inlineStr">
        <is>
          <t>Xiaomi Pad 6</t>
        </is>
      </c>
      <c r="B13" s="35" t="inlineStr">
        <is>
          <t>11" IPS</t>
        </is>
      </c>
      <c r="C13" s="35" t="inlineStr">
        <is>
          <t>6 GB / 128 GB</t>
        </is>
      </c>
      <c r="D13" s="35" t="inlineStr">
        <is>
          <t>8.840 mAh</t>
        </is>
      </c>
      <c r="E13" s="35" t="inlineStr">
        <is>
          <t>1 año</t>
        </is>
      </c>
      <c r="F13" s="36" t="n">
        <v>1250000</v>
      </c>
      <c r="G13" s="35" t="inlineStr">
        <is>
          <t>MercadoLibre CO</t>
        </is>
      </c>
      <c r="H13" s="37" t="inlineStr">
        <is>
          <t>❌ No – precio alto</t>
        </is>
      </c>
      <c r="I13" s="47">
        <f>HYPERLINK("https://listado.mercadolibre.com.co/xiaomi-pad-6","Ver en ML")</f>
        <v/>
      </c>
    </row>
    <row r="14">
      <c r="A14" s="35" t="inlineStr">
        <is>
          <t>Huawei MatePad T10s</t>
        </is>
      </c>
      <c r="B14" s="35" t="inlineStr">
        <is>
          <t>10.1" IPS</t>
        </is>
      </c>
      <c r="C14" s="35" t="inlineStr">
        <is>
          <t>4 GB / 128 GB</t>
        </is>
      </c>
      <c r="D14" s="35" t="inlineStr">
        <is>
          <t>7.250 mAh</t>
        </is>
      </c>
      <c r="E14" s="35" t="inlineStr">
        <is>
          <t>1 año</t>
        </is>
      </c>
      <c r="F14" s="36" t="n">
        <v>980000</v>
      </c>
      <c r="G14" s="35" t="inlineStr">
        <is>
          <t>Huawei Store CO</t>
        </is>
      </c>
      <c r="H14" s="37" t="inlineStr">
        <is>
          <t>❌ No – sin Google Play</t>
        </is>
      </c>
      <c r="I14" s="47">
        <f>HYPERLINK("https://listado.mercadolibre.com.co/huawei-matepad-t10s","Ver en ML")</f>
        <v/>
      </c>
    </row>
    <row r="15" ht="30" customHeight="1">
      <c r="A15" s="38" t="inlineStr">
        <is>
          <t>→ Selección: Samsung Galaxy Tab A9 – ecosistema Android completo, compatible con PWA del sistema, precio ajustado al presupuesto del taller.</t>
        </is>
      </c>
    </row>
  </sheetData>
  <mergeCells count="6">
    <mergeCell ref="A3:H3"/>
    <mergeCell ref="A15:H15"/>
    <mergeCell ref="A2:H2"/>
    <mergeCell ref="A10:H10"/>
    <mergeCell ref="A1:H1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12" customWidth="1" min="4" max="4"/>
    <col width="18" customWidth="1" min="5" max="5"/>
  </cols>
  <sheetData>
    <row r="1" ht="30" customHeight="1">
      <c r="A1" s="1" t="inlineStr">
        <is>
          <t>ESTIMACIÓN DE COSTO TOTAL  |  SIGTRM – Taller La Caqueteña</t>
        </is>
      </c>
    </row>
    <row r="2">
      <c r="A2" s="2" t="inlineStr">
        <is>
          <t>Sistema Inteligente de Gestión para Taller de Reparación de Muebles  |  Duración: 18 meses  |  Equipo: 4 personas</t>
        </is>
      </c>
    </row>
    <row r="3">
      <c r="A3" s="3" t="inlineStr">
        <is>
          <t>Categoría</t>
        </is>
      </c>
      <c r="B3" s="3" t="inlineStr">
        <is>
          <t>Componente / Descripción</t>
        </is>
      </c>
      <c r="C3" s="3" t="inlineStr">
        <is>
          <t>Tipo</t>
        </is>
      </c>
      <c r="D3" s="3" t="inlineStr">
        <is>
          <t>Período</t>
        </is>
      </c>
      <c r="E3" s="3" t="inlineStr">
        <is>
          <t>Costo (COP)</t>
        </is>
      </c>
    </row>
    <row r="4">
      <c r="A4" s="12" t="inlineStr">
        <is>
          <t>1. HARDWARE</t>
        </is>
      </c>
    </row>
    <row r="5">
      <c r="A5" s="6" t="inlineStr">
        <is>
          <t>Hardware</t>
        </is>
      </c>
      <c r="B5" s="6" t="inlineStr">
        <is>
          <t>Equipos de desarrollo (1 laptop, monitores, periféricos, UPS, SSD externo)</t>
        </is>
      </c>
      <c r="C5" s="6" t="inlineStr">
        <is>
          <t>CAPEX</t>
        </is>
      </c>
      <c r="D5" s="6" t="inlineStr">
        <is>
          <t>Único</t>
        </is>
      </c>
      <c r="E5" s="15" t="n">
        <v>4150000</v>
      </c>
    </row>
    <row r="6">
      <c r="A6" s="10" t="inlineStr">
        <is>
          <t>Hardware</t>
        </is>
      </c>
      <c r="B6" s="10" t="inlineStr">
        <is>
          <t>Infraestructura red taller (router WiFi 6, switch, cableado, 2 tablets)</t>
        </is>
      </c>
      <c r="C6" s="10" t="inlineStr">
        <is>
          <t>CAPEX</t>
        </is>
      </c>
      <c r="D6" s="10" t="inlineStr">
        <is>
          <t>Único</t>
        </is>
      </c>
      <c r="E6" s="18" t="n">
        <v>2195000</v>
      </c>
    </row>
    <row r="7">
      <c r="A7" s="19" t="inlineStr">
        <is>
          <t>SUBTOTAL HARDWARE</t>
        </is>
      </c>
      <c r="E7" s="20">
        <f>E5+E6</f>
        <v/>
      </c>
    </row>
    <row r="8">
      <c r="A8" s="12" t="inlineStr">
        <is>
          <t>2. SOFTWARE Y LICENCIAS</t>
        </is>
      </c>
    </row>
    <row r="9">
      <c r="A9" s="6" t="inlineStr">
        <is>
          <t>Software</t>
        </is>
      </c>
      <c r="B9" s="6" t="inlineStr">
        <is>
          <t>Stack open source (React, Node.js, PostgreSQL, GitHub, VS Code, Figma…)</t>
        </is>
      </c>
      <c r="C9" s="13" t="inlineStr">
        <is>
          <t>Gratis</t>
        </is>
      </c>
      <c r="D9" s="13" t="inlineStr">
        <is>
          <t>18 meses</t>
        </is>
      </c>
      <c r="E9" s="15" t="n">
        <v>0</v>
      </c>
    </row>
    <row r="10">
      <c r="A10" s="12" t="inlineStr">
        <is>
          <t>3. CONECTIVIDAD</t>
        </is>
      </c>
    </row>
    <row r="11">
      <c r="A11" s="10" t="inlineStr">
        <is>
          <t>Red / Internet</t>
        </is>
      </c>
      <c r="B11" s="10" t="inlineStr">
        <is>
          <t>Internet 200 Mbps – Conexion Digital – taller ($85.000/mes × 18 meses)</t>
        </is>
      </c>
      <c r="C11" s="16" t="inlineStr">
        <is>
          <t>OPEX</t>
        </is>
      </c>
      <c r="D11" s="16" t="inlineStr">
        <is>
          <t>18 meses</t>
        </is>
      </c>
      <c r="E11" s="18" t="n">
        <v>1530000</v>
      </c>
    </row>
    <row r="12">
      <c r="A12" s="12" t="inlineStr">
        <is>
          <t>4. RECURSO HUMANO</t>
        </is>
      </c>
    </row>
    <row r="13">
      <c r="A13" s="6" t="inlineStr">
        <is>
          <t>Recurso Humano</t>
        </is>
      </c>
      <c r="B13" s="6" t="inlineStr">
        <is>
          <t>Danier F. Herrera C. – Líder / Full-Stack  (20 h/sem × 78 sem × $25.000)</t>
        </is>
      </c>
      <c r="C13" s="6" t="inlineStr">
        <is>
          <t>Por hora</t>
        </is>
      </c>
      <c r="D13" s="6" t="inlineStr">
        <is>
          <t>18 meses</t>
        </is>
      </c>
      <c r="E13" s="15" t="n">
        <v>39000000</v>
      </c>
    </row>
    <row r="14">
      <c r="A14" s="10" t="inlineStr">
        <is>
          <t>Recurso Humano</t>
        </is>
      </c>
      <c r="B14" s="10" t="inlineStr">
        <is>
          <t>Eydy Y. Bobadilla C. – Frontend / UX-UI  (18 h/sem × 78 sem × $22.000)</t>
        </is>
      </c>
      <c r="C14" s="10" t="inlineStr">
        <is>
          <t>Por hora</t>
        </is>
      </c>
      <c r="D14" s="10" t="inlineStr">
        <is>
          <t>18 meses</t>
        </is>
      </c>
      <c r="E14" s="18" t="n">
        <v>30888000</v>
      </c>
    </row>
    <row r="15">
      <c r="A15" s="6" t="inlineStr">
        <is>
          <t>Recurso Humano</t>
        </is>
      </c>
      <c r="B15" s="6" t="inlineStr">
        <is>
          <t>Jhoan S. Martínez G. – Backend / BD  (18 h/sem × 78 sem × $22.000)</t>
        </is>
      </c>
      <c r="C15" s="6" t="inlineStr">
        <is>
          <t>Por hora</t>
        </is>
      </c>
      <c r="D15" s="6" t="inlineStr">
        <is>
          <t>18 meses</t>
        </is>
      </c>
      <c r="E15" s="15" t="n">
        <v>30888000</v>
      </c>
    </row>
    <row r="16">
      <c r="A16" s="10" t="inlineStr">
        <is>
          <t>Recurso Humano</t>
        </is>
      </c>
      <c r="B16" s="10" t="inlineStr">
        <is>
          <t>Santiago Ortigoza J. – QA / Docs  (15 h/sem × 78 sem × $18.000)</t>
        </is>
      </c>
      <c r="C16" s="10" t="inlineStr">
        <is>
          <t>Por hora</t>
        </is>
      </c>
      <c r="D16" s="10" t="inlineStr">
        <is>
          <t>18 meses</t>
        </is>
      </c>
      <c r="E16" s="18" t="n">
        <v>21060000</v>
      </c>
    </row>
    <row r="17">
      <c r="A17" s="19" t="inlineStr">
        <is>
          <t>SUBTOTAL RECURSO HUMANO</t>
        </is>
      </c>
      <c r="E17" s="20">
        <f>SUM(E13:E16)</f>
        <v/>
      </c>
    </row>
    <row r="19" ht="25" customHeight="1">
      <c r="A19" s="39" t="inlineStr">
        <is>
          <t>COSTO TOTAL DEL PROYECTO</t>
        </is>
      </c>
      <c r="E19" s="40">
        <f>E7+E9+E11+E17</f>
        <v/>
      </c>
    </row>
  </sheetData>
  <mergeCells count="9">
    <mergeCell ref="A17:D17"/>
    <mergeCell ref="A12:E12"/>
    <mergeCell ref="A4:E4"/>
    <mergeCell ref="A2:E2"/>
    <mergeCell ref="A10:E10"/>
    <mergeCell ref="A7:D7"/>
    <mergeCell ref="A1:E1"/>
    <mergeCell ref="A19:D1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2026-06-18T00:06:24Z</dcterms:created>
  <dcterms:modified xmlns:dcterms="http://purl.org/dc/terms/" xmlns:xsi="http://www.w3.org/2001/XMLSchema-instance" xsi:type="dcterms:W3CDTF">2026-06-18T00:31:42Z</dcterms:modified>
</cp:coreProperties>
</file>