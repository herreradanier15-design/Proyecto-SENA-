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Hardware" sheetId="2" state="visible" r:id="rId4"/>
    <sheet name="Software" sheetId="3" state="visible" r:id="rId5"/>
    <sheet name="Servicios Nube" sheetId="4" state="visible" r:id="rId6"/>
    <sheet name="Mano de Obra" sheetId="5" state="visible" r:id="rId7"/>
    <sheet name="Costo Total Proyec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<sst xmlns="http://schemas.openxmlformats.org/spreadsheetml/2006/main" count="396" uniqueCount="340">
  <si>
    <t xml:space="preserve">FICHA DE COSTOS – PROYECTO SENA</t>
  </si>
  <si>
    <t xml:space="preserve">Tecnología en Análisis y Desarrollo de Software | 2026</t>
  </si>
  <si>
    <t xml:space="preserve">INTEGRANTES DEL PROYECTO</t>
  </si>
  <si>
    <t xml:space="preserve">1.  Eydy Yuliana Bobadilla Cubillos</t>
  </si>
  <si>
    <t xml:space="preserve">2.  Santiago Ortigoza</t>
  </si>
  <si>
    <t xml:space="preserve">3.  Danier Felipe Herrera Charry</t>
  </si>
  <si>
    <t xml:space="preserve">4.  Johan Sebastian Martinez Gomez</t>
  </si>
  <si>
    <t xml:space="preserve">Programa:</t>
  </si>
  <si>
    <t xml:space="preserve">Tecnología en Análisis y Desarrollo de Software</t>
  </si>
  <si>
    <t xml:space="preserve">Institución:</t>
  </si>
  <si>
    <t xml:space="preserve">SENA – Servicio Nacional de Aprendizaje</t>
  </si>
  <si>
    <t xml:space="preserve">Ciudad:</t>
  </si>
  <si>
    <t xml:space="preserve">Colombia</t>
  </si>
  <si>
    <t xml:space="preserve">Año:</t>
  </si>
  <si>
    <t xml:space="preserve">2026</t>
  </si>
  <si>
    <t xml:space="preserve">Presupuesto total objetivo:</t>
  </si>
  <si>
    <t xml:space="preserve">$30.000.000 COP</t>
  </si>
  <si>
    <t xml:space="preserve">Integrantes:</t>
  </si>
  <si>
    <t xml:space="preserve">4 aprendices</t>
  </si>
  <si>
    <t xml:space="preserve">HARDWARE – EQUIPOS Y PERIFÉRICOS DEL PROYECTO</t>
  </si>
  <si>
    <t xml:space="preserve">Precios consultados en Ktronix y Alkosto Colombia | Junio 2026</t>
  </si>
  <si>
    <t xml:space="preserve">PORTÁTILES (4 unidades – una por integrante)</t>
  </si>
  <si>
    <t xml:space="preserve">#</t>
  </si>
  <si>
    <t xml:space="preserve">MODELO</t>
  </si>
  <si>
    <t xml:space="preserve">PROCESADOR</t>
  </si>
  <si>
    <t xml:space="preserve">RAM</t>
  </si>
  <si>
    <t xml:space="preserve">ALMACEN.</t>
  </si>
  <si>
    <t xml:space="preserve">PRECIO COP</t>
  </si>
  <si>
    <t xml:space="preserve">TIENDA</t>
  </si>
  <si>
    <t xml:space="preserve">Lenovo IdeaPad 1 15ALC7</t>
  </si>
  <si>
    <t xml:space="preserve">AMD Ryzen 5 5500U</t>
  </si>
  <si>
    <t xml:space="preserve">8 GB DDR4</t>
  </si>
  <si>
    <t xml:space="preserve">512 GB SSD</t>
  </si>
  <si>
    <t xml:space="preserve">Ktronix – ktronix.com/computadores-tablet/computadores-portatiles</t>
  </si>
  <si>
    <t xml:space="preserve">HP 14s-fq1008la</t>
  </si>
  <si>
    <t xml:space="preserve">AMD Ryzen 3 5300U</t>
  </si>
  <si>
    <t xml:space="preserve">256 GB SSD</t>
  </si>
  <si>
    <t xml:space="preserve">Alkosto – alkosto.com/computadores-tablet/computadores-portatiles</t>
  </si>
  <si>
    <t xml:space="preserve">Asus VivoBook 15 X1502</t>
  </si>
  <si>
    <t xml:space="preserve">Intel Core i5-1235U</t>
  </si>
  <si>
    <t xml:space="preserve">Ktronix – ktronix.com/marcas/asus</t>
  </si>
  <si>
    <t xml:space="preserve">Lenovo IdeaPad 3 15IAU7</t>
  </si>
  <si>
    <t xml:space="preserve">Intel Core i3-1215U</t>
  </si>
  <si>
    <t xml:space="preserve">Alkosto – alkosto.com/marcas/lenovo</t>
  </si>
  <si>
    <t xml:space="preserve">SUBTOTAL 4 PORTÁTILES</t>
  </si>
  <si>
    <t xml:space="preserve">COMPUTADORES DE ESCRITORIO / ALL-IN-ONE (4 unidades – taller)</t>
  </si>
  <si>
    <t xml:space="preserve">Lenovo IdeaCentre AIO 3 24"</t>
  </si>
  <si>
    <t xml:space="preserve">Alkosto – alkosto.com/computadores-tablet/computadores-escritorio-all-in-one</t>
  </si>
  <si>
    <t xml:space="preserve">HP All-in-One 24-cb1052la</t>
  </si>
  <si>
    <t xml:space="preserve">Alkosto – alkosto.com/marcas/hp</t>
  </si>
  <si>
    <t xml:space="preserve">Asus AIO M415UA 21.5"</t>
  </si>
  <si>
    <t xml:space="preserve">HP ProDesk 405 G8 + Monitor</t>
  </si>
  <si>
    <t xml:space="preserve">AMD Ryzen 3 PRO 4350G</t>
  </si>
  <si>
    <t xml:space="preserve">Ktronix – ktronix.com/marcas/hp</t>
  </si>
  <si>
    <t xml:space="preserve">SUBTOTAL 4 EQUIPOS ESCRITORIO</t>
  </si>
  <si>
    <t xml:space="preserve">PERIFÉRICOS Y ACCESORIOS</t>
  </si>
  <si>
    <t xml:space="preserve">ARTÍCULO</t>
  </si>
  <si>
    <t xml:space="preserve">DESCRIPCIÓN</t>
  </si>
  <si>
    <t xml:space="preserve">CANT.</t>
  </si>
  <si>
    <t xml:space="preserve">PRECIO UNIT. COP</t>
  </si>
  <si>
    <t xml:space="preserve">PRECIO TOTAL COP</t>
  </si>
  <si>
    <t xml:space="preserve">Mouse Logitech M90</t>
  </si>
  <si>
    <t xml:space="preserve">Mouse USB alámbrico, plug &amp; play</t>
  </si>
  <si>
    <t xml:space="preserve">Alkosto – alkosto.com</t>
  </si>
  <si>
    <t xml:space="preserve">Mouse Logitech M185</t>
  </si>
  <si>
    <t xml:space="preserve">Mouse inalámbrico 2.4 GHz, 12 meses batería</t>
  </si>
  <si>
    <t xml:space="preserve">Ktronix – ktronix.com</t>
  </si>
  <si>
    <t xml:space="preserve">Teclado Logitech K120</t>
  </si>
  <si>
    <t xml:space="preserve">Teclado USB, resistente derrames</t>
  </si>
  <si>
    <t xml:space="preserve">Diadema/Audífonos Jabra</t>
  </si>
  <si>
    <t xml:space="preserve">Para reuniones y trabajo remoto</t>
  </si>
  <si>
    <t xml:space="preserve">Mousepad grande</t>
  </si>
  <si>
    <t xml:space="preserve">Superficie antideslizante 40×90 cm</t>
  </si>
  <si>
    <t xml:space="preserve">Cable HDMI 1.8m</t>
  </si>
  <si>
    <t xml:space="preserve">Conexión monitor externo</t>
  </si>
  <si>
    <t xml:space="preserve">Hub USB 4 puertos</t>
  </si>
  <si>
    <t xml:space="preserve">Ampliar puertos USB portátiles</t>
  </si>
  <si>
    <t xml:space="preserve">Regleta 6 tomas</t>
  </si>
  <si>
    <t xml:space="preserve">Protección contra sobretensión</t>
  </si>
  <si>
    <t xml:space="preserve">Bolso/Maletín portátil 15.6"</t>
  </si>
  <si>
    <t xml:space="preserve">Transporte y protección portátil</t>
  </si>
  <si>
    <t xml:space="preserve">Memoria USB 32 GB</t>
  </si>
  <si>
    <t xml:space="preserve">Kingston DataTraveler, entrega de archivos</t>
  </si>
  <si>
    <t xml:space="preserve">SUBTOTAL PERIFÉRICOS</t>
  </si>
  <si>
    <t xml:space="preserve">TOTAL HARDWARE (Portátiles + Escritorio + Periféricos)</t>
  </si>
  <si>
    <t xml:space="preserve">SOFTWARE – HERRAMIENTAS DE DESARROLLO</t>
  </si>
  <si>
    <t xml:space="preserve">Herramientas conocidas por aprendices SENA | Mayoría gratuitas</t>
  </si>
  <si>
    <t xml:space="preserve">SOFTWARE</t>
  </si>
  <si>
    <t xml:space="preserve">CATEGORÍA</t>
  </si>
  <si>
    <t xml:space="preserve">COSTO MENSUAL (COP)</t>
  </si>
  <si>
    <t xml:space="preserve">ENLACE / NOTA</t>
  </si>
  <si>
    <t xml:space="preserve">NetBeans IDE</t>
  </si>
  <si>
    <t xml:space="preserve">IDE desarrollo Java / Web</t>
  </si>
  <si>
    <t xml:space="preserve">https://netbeans.apache.org – GRATUITO ✅</t>
  </si>
  <si>
    <t xml:space="preserve">MySQL Community Server</t>
  </si>
  <si>
    <t xml:space="preserve">Base de datos relacional</t>
  </si>
  <si>
    <t xml:space="preserve">https://dev.mysql.com – GRATUITO ✅</t>
  </si>
  <si>
    <t xml:space="preserve">MySQL Workbench</t>
  </si>
  <si>
    <t xml:space="preserve">Gestor visual de BD MySQL</t>
  </si>
  <si>
    <t xml:space="preserve">https://dev.mysql.com/workbench – GRATUITO ✅</t>
  </si>
  <si>
    <t xml:space="preserve">Visual Studio Code</t>
  </si>
  <si>
    <t xml:space="preserve">Editor de código multilenguaje</t>
  </si>
  <si>
    <t xml:space="preserve">https://code.visualstudio.com – GRATUITO ✅</t>
  </si>
  <si>
    <t xml:space="preserve">IntelliJ IDEA Community</t>
  </si>
  <si>
    <t xml:space="preserve">IDE Java alternativo al NetBeans</t>
  </si>
  <si>
    <t xml:space="preserve">https://jetbrains.com/idea – GRATUITO ✅</t>
  </si>
  <si>
    <t xml:space="preserve">Git</t>
  </si>
  <si>
    <t xml:space="preserve">Control de versiones local</t>
  </si>
  <si>
    <t xml:space="preserve">https://git-scm.com – GRATUITO ✅</t>
  </si>
  <si>
    <t xml:space="preserve">GitHub Free</t>
  </si>
  <si>
    <t xml:space="preserve">Repositorio nube – proyectos públicos</t>
  </si>
  <si>
    <t xml:space="preserve">https://github.com – GRATUITO ✅</t>
  </si>
  <si>
    <t xml:space="preserve">GitHub Team</t>
  </si>
  <si>
    <t xml:space="preserve">Repos privados – 4 usuarios × $4 USD/mes</t>
  </si>
  <si>
    <t xml:space="preserve">https://github.com/pricing – $45.400/usuario/mes</t>
  </si>
  <si>
    <t xml:space="preserve">Figma Free</t>
  </si>
  <si>
    <t xml:space="preserve">Diseño UI/UX (hasta 3 proyectos)</t>
  </si>
  <si>
    <t xml:space="preserve">https://figma.com – GRATUITO ✅</t>
  </si>
  <si>
    <t xml:space="preserve">draw.io / diagrams.net</t>
  </si>
  <si>
    <t xml:space="preserve">Diagramas UML, ER, flujos</t>
  </si>
  <si>
    <t xml:space="preserve">https://app.diagrams.net – GRATUITO ✅</t>
  </si>
  <si>
    <t xml:space="preserve">Postman Free</t>
  </si>
  <si>
    <t xml:space="preserve">Pruebas de APIs REST</t>
  </si>
  <si>
    <t xml:space="preserve">https://postman.com – GRATUITO ✅</t>
  </si>
  <si>
    <t xml:space="preserve">XAMPP</t>
  </si>
  <si>
    <t xml:space="preserve">Servidor local Apache + PHP + MySQL</t>
  </si>
  <si>
    <t xml:space="preserve">https://apachefriends.org – GRATUITO ✅</t>
  </si>
  <si>
    <t xml:space="preserve">Android Studio</t>
  </si>
  <si>
    <t xml:space="preserve">Desarrollo apps móviles Android</t>
  </si>
  <si>
    <t xml:space="preserve">https://developer.android.com/studio – GRATUITO ✅</t>
  </si>
  <si>
    <t xml:space="preserve">LibreOffice</t>
  </si>
  <si>
    <t xml:space="preserve">Documentos, hojas de cálculo</t>
  </si>
  <si>
    <t xml:space="preserve">https://libreoffice.org – GRATUITO ✅</t>
  </si>
  <si>
    <t xml:space="preserve">Zoom / Google Meet</t>
  </si>
  <si>
    <t xml:space="preserve">Reuniones virtuales del equipo</t>
  </si>
  <si>
    <t xml:space="preserve">Plan gratuito – GRATUITO ✅</t>
  </si>
  <si>
    <t xml:space="preserve">Trello Free</t>
  </si>
  <si>
    <t xml:space="preserve">Gestión de tareas del proyecto</t>
  </si>
  <si>
    <t xml:space="preserve">https://trello.com – GRATUITO ✅</t>
  </si>
  <si>
    <t xml:space="preserve">Notion Free</t>
  </si>
  <si>
    <t xml:space="preserve">Documentación colaborativa</t>
  </si>
  <si>
    <t xml:space="preserve">https://notion.so – GRATUITO ✅</t>
  </si>
  <si>
    <t xml:space="preserve">TOTAL MENSUAL SOFTWARE (4 usuarios GitHub Team)</t>
  </si>
  <si>
    <t xml:space="preserve">TOTAL ANUAL SOFTWARE (12 meses)</t>
  </si>
  <si>
    <t xml:space="preserve">SERVICIOS EN LA NUBE – TIPOS, PLANES Y COMPARATIVA</t>
  </si>
  <si>
    <t xml:space="preserve">IaaS · SaaS · PaaS · FaaS · BaaS · CaaS · AIaaS | Mejor opción para el proyecto SENA</t>
  </si>
  <si>
    <t xml:space="preserve">TIPOS DE SERVICIOS CLOUD – DEFINICIÓN Y QUÉ INCLUYE</t>
  </si>
  <si>
    <t xml:space="preserve">TIPO</t>
  </si>
  <si>
    <t xml:space="preserve">QUÉ ES</t>
  </si>
  <si>
    <t xml:space="preserve">QUÉ INCLUYE</t>
  </si>
  <si>
    <t xml:space="preserve">EJEMPLO AWS</t>
  </si>
  <si>
    <t xml:space="preserve">EJEMPLO AZURE</t>
  </si>
  <si>
    <t xml:space="preserve">EJEMPLO GCP</t>
  </si>
  <si>
    <t xml:space="preserve">COSTO APROX./MES (COP)</t>
  </si>
  <si>
    <t xml:space="preserve">¿APLICA AL PROYECTO?</t>
  </si>
  <si>
    <t xml:space="preserve">IaaS
(Infrastructure as a Service)</t>
  </si>
  <si>
    <t xml:space="preserve">Provee infraestructura virtual: servidores, redes, almacenamiento y seguridad. Tú gestionas el sistema operativo.</t>
  </si>
  <si>
    <t xml:space="preserve">• Servidores virtuales
• Redes y VPC
• Almacenamiento (bloques/objetos)
• Seguridad de red / Firewall</t>
  </si>
  <si>
    <t xml:space="preserve">EC2, S3, VPC, IAM</t>
  </si>
  <si>
    <t xml:space="preserve">Azure VM, VNet, Blob Storage</t>
  </si>
  <si>
    <t xml:space="preserve">Compute Engine, Cloud Storage</t>
  </si>
  <si>
    <t xml:space="preserve">GRATIS (Free Tier 12 meses)
Después: ~$40.000/mes</t>
  </si>
  <si>
    <t xml:space="preserve">✅ SÍ – Para alojar el servidor backend del proyecto</t>
  </si>
  <si>
    <t xml:space="preserve">SaaS
(Software as a Service)</t>
  </si>
  <si>
    <t xml:space="preserve">Software listo para usar en la nube. El proveedor gestiona todo: aplicación, servidores y seguridad.</t>
  </si>
  <si>
    <t xml:space="preserve">• Aplicaciones web listas
• Mantenimiento automático
• Actualizaciones incluidas
• Seguridad gestionada</t>
  </si>
  <si>
    <t xml:space="preserve">AWS WorkMail, QuickSight</t>
  </si>
  <si>
    <t xml:space="preserve">Microsoft 365, Teams</t>
  </si>
  <si>
    <t xml:space="preserve">Google Workspace</t>
  </si>
  <si>
    <t xml:space="preserve">GRATIS (Google Workspace Edu)
M365: ~$40.000/usuario/mes</t>
  </si>
  <si>
    <t xml:space="preserve">⚠️ PARCIAL – Google Meet/Drive para colaboración</t>
  </si>
  <si>
    <t xml:space="preserve">PaaS
(Platform as a Service)</t>
  </si>
  <si>
    <t xml:space="preserve">Plataforma para desarrollar y desplegar apps sin gestionar servidores. Solo subes el código.</t>
  </si>
  <si>
    <t xml:space="preserve">• Gestionar aplicaciones
• Entorno de ejecución
• Escalado automático
• CI/CD integrado</t>
  </si>
  <si>
    <t xml:space="preserve">AWS Elastic Beanstalk, Lambda</t>
  </si>
  <si>
    <t xml:space="preserve">Azure App Service</t>
  </si>
  <si>
    <t xml:space="preserve">Google App Engine</t>
  </si>
  <si>
    <t xml:space="preserve">GRATIS (free tier)
Después: ~$30.000/mes</t>
  </si>
  <si>
    <t xml:space="preserve">✅ SÍ – Desplegar la app web sin administrar servidor</t>
  </si>
  <si>
    <t xml:space="preserve">FaaS
(Function as a Service)</t>
  </si>
  <si>
    <t xml:space="preserve">Ejecuta fragmentos de código (funciones) en la nube sin administrar servidores. Pago por ejecución.</t>
  </si>
  <si>
    <t xml:space="preserve">• Fragmentos de código que se ejecutan sin administrar servidores
• Escala automática a cero
• Facturación por milisegundo</t>
  </si>
  <si>
    <t xml:space="preserve">AWS Lambda</t>
  </si>
  <si>
    <t xml:space="preserve">Azure Functions</t>
  </si>
  <si>
    <t xml:space="preserve">Google Cloud Functions</t>
  </si>
  <si>
    <t xml:space="preserve">GRATIS (1M solicitudes/mes)
~$0 para proyectos SENA</t>
  </si>
  <si>
    <t xml:space="preserve">✅ SÍ – Notificaciones, procesos automáticos, APIs ligeras</t>
  </si>
  <si>
    <t xml:space="preserve">BaaS
(Backend as a Service)</t>
  </si>
  <si>
    <t xml:space="preserve">Subcontrata infraestructura y lógica del backend. El proveedor gestiona BD, autenticación y APIs.</t>
  </si>
  <si>
    <t xml:space="preserve">• Subcontrata infraestructura y lógica
• BD en tiempo real
• Autenticación de usuarios
• Almacenamiento de archivos</t>
  </si>
  <si>
    <t xml:space="preserve">AWS Amplify</t>
  </si>
  <si>
    <t xml:space="preserve">Azure Mobile Apps</t>
  </si>
  <si>
    <t xml:space="preserve">Firebase (Google)</t>
  </si>
  <si>
    <t xml:space="preserve">GRATIS (Firebase Spark)
Amplify: ~$20.000/mes</t>
  </si>
  <si>
    <t xml:space="preserve">✅ SÍ – Firebase ideal para autenticación y BD en tiempo real</t>
  </si>
  <si>
    <t xml:space="preserve">CaaS
(Container as a Service)</t>
  </si>
  <si>
    <t xml:space="preserve">Cargar, iniciar y organizar contenedores (Docker) y aplicaciones. Gestión de contenedores en la nube.</t>
  </si>
  <si>
    <t xml:space="preserve">• Cargar, iniciar y organizar contenedores
• Empaquetar aplicaciones en imágenes Docker
• Orquestación con Kubernetes</t>
  </si>
  <si>
    <t xml:space="preserve">Amazon ECS / EKS</t>
  </si>
  <si>
    <t xml:space="preserve">Azure Kubernetes Service (AKS)</t>
  </si>
  <si>
    <t xml:space="preserve">Google Kubernetes Engine (GKE)</t>
  </si>
  <si>
    <t xml:space="preserve">~$60.000/mes
(no hay free tier robusto)</t>
  </si>
  <si>
    <t xml:space="preserve">⚠️ OPCIONAL – Solo si el proyecto usa Docker/Kubernetes</t>
  </si>
  <si>
    <t xml:space="preserve">AIaaS
(Artificial Intelligence as a Service)</t>
  </si>
  <si>
    <t xml:space="preserve">Servicios de inteligencia artificial listos para integrar: visión artificial, NLP, chatbots, ML.</t>
  </si>
  <si>
    <t xml:space="preserve">• Reconocimiento de imágenes
• Procesamiento de lenguaje natural
• Chatbots y asistentes
• Modelos ML preentrenados</t>
  </si>
  <si>
    <t xml:space="preserve">AWS Rekognition, SageMaker</t>
  </si>
  <si>
    <t xml:space="preserve">Azure Cognitive Services, Bot Service</t>
  </si>
  <si>
    <t xml:space="preserve">Vertex AI, Dialogflow</t>
  </si>
  <si>
    <t xml:space="preserve">GRATIS (niveles básicos)
Desde ~$5.000 COP/mes</t>
  </si>
  <si>
    <t xml:space="preserve">⚠️ OPCIONAL – Si el proyecto incluye IA/ML</t>
  </si>
  <si>
    <t xml:space="preserve">COMPARATIVA: ¿CUÁL ES MEJOR PARA EL PROYECTO SENA?</t>
  </si>
  <si>
    <t xml:space="preserve">PROVEEDOR</t>
  </si>
  <si>
    <t xml:space="preserve">IaaS</t>
  </si>
  <si>
    <t xml:space="preserve">SaaS</t>
  </si>
  <si>
    <t xml:space="preserve">PaaS</t>
  </si>
  <si>
    <t xml:space="preserve">FaaS</t>
  </si>
  <si>
    <t xml:space="preserve">BaaS</t>
  </si>
  <si>
    <t xml:space="preserve">CaaS</t>
  </si>
  <si>
    <t xml:space="preserve">AIaaS</t>
  </si>
  <si>
    <t xml:space="preserve">AWS (Amazon)</t>
  </si>
  <si>
    <t xml:space="preserve">EC2 t2.micro
FREE 12m</t>
  </si>
  <si>
    <t xml:space="preserve">WorkMail básico</t>
  </si>
  <si>
    <t xml:space="preserve">Elastic Beanstalk
FREE</t>
  </si>
  <si>
    <t xml:space="preserve">Lambda
1M req/mes FREE</t>
  </si>
  <si>
    <t xml:space="preserve">Amplify
~$20k/mes</t>
  </si>
  <si>
    <t xml:space="preserve">ECS/EKS
~$60k/mes</t>
  </si>
  <si>
    <t xml:space="preserve">SageMaker
~$30k/mes</t>
  </si>
  <si>
    <t xml:space="preserve">Microsoft Azure</t>
  </si>
  <si>
    <t xml:space="preserve">VM B1s
FREE 12m</t>
  </si>
  <si>
    <t xml:space="preserve">M365 Educación
GRATIS</t>
  </si>
  <si>
    <t xml:space="preserve">App Service F1
FREE</t>
  </si>
  <si>
    <t xml:space="preserve">Functions
1M req/mes FREE</t>
  </si>
  <si>
    <t xml:space="preserve">Mobile Apps
~$25k/mes</t>
  </si>
  <si>
    <t xml:space="preserve">AKS
~$55k/mes</t>
  </si>
  <si>
    <t xml:space="preserve">Cognitive Svcs
~$10k/mes</t>
  </si>
  <si>
    <t xml:space="preserve">Google Cloud GCP</t>
  </si>
  <si>
    <t xml:space="preserve">Compute e2-micro
ALWAYS FREE</t>
  </si>
  <si>
    <t xml:space="preserve">Google Workspace
Edu GRATIS</t>
  </si>
  <si>
    <t xml:space="preserve">App Engine F1
FREE</t>
  </si>
  <si>
    <t xml:space="preserve">Cloud Functions
2M req/mes FREE</t>
  </si>
  <si>
    <t xml:space="preserve">Firebase Spark
GRATIS</t>
  </si>
  <si>
    <t xml:space="preserve">GKE Autopilot
~$50k/mes</t>
  </si>
  <si>
    <t xml:space="preserve">Vertex AI
~$20k/mes</t>
  </si>
  <si>
    <t xml:space="preserve">—</t>
  </si>
  <si>
    <t xml:space="preserve">Hosting FREE</t>
  </si>
  <si>
    <t xml:space="preserve">Cloud Functions FREE</t>
  </si>
  <si>
    <t xml:space="preserve">Firestore + Auth
10GB GRATIS</t>
  </si>
  <si>
    <t xml:space="preserve">Oracle Cloud</t>
  </si>
  <si>
    <t xml:space="preserve">2 VMs Always
FREE</t>
  </si>
  <si>
    <t xml:space="preserve">RECOMENDACIÓN PARA EL PROYECTO SENA</t>
  </si>
  <si>
    <t xml:space="preserve">✅ USAR (Free Tier)</t>
  </si>
  <si>
    <t xml:space="preserve">AWS Free Tier (EC2 + S3)</t>
  </si>
  <si>
    <t xml:space="preserve">PaaS – Elastic Beanstalk</t>
  </si>
  <si>
    <t xml:space="preserve">Lambda (FaaS)</t>
  </si>
  <si>
    <t xml:space="preserve">Firebase BaaS</t>
  </si>
  <si>
    <t xml:space="preserve">Azure estudiantes gratis</t>
  </si>
  <si>
    <t xml:space="preserve">App Engine GCP</t>
  </si>
  <si>
    <t xml:space="preserve">💰 COSTO MENSUAL</t>
  </si>
  <si>
    <t xml:space="preserve">$0 (12 meses gratis)</t>
  </si>
  <si>
    <t xml:space="preserve">$0 Free Tier</t>
  </si>
  <si>
    <t xml:space="preserve">$0 (1M req/mes)</t>
  </si>
  <si>
    <t xml:space="preserve">$0 Spark Plan</t>
  </si>
  <si>
    <t xml:space="preserve">$0 (2M req/mes)</t>
  </si>
  <si>
    <t xml:space="preserve">$0 Education</t>
  </si>
  <si>
    <t xml:space="preserve">📌 MEJOR OPCIÓN</t>
  </si>
  <si>
    <t xml:space="preserve">Firebase + GCP</t>
  </si>
  <si>
    <t xml:space="preserve">Ideal: PaaS en GCP</t>
  </si>
  <si>
    <t xml:space="preserve">Lambda AWS para notificaciones</t>
  </si>
  <si>
    <t xml:space="preserve">Firebase para autenticación</t>
  </si>
  <si>
    <t xml:space="preserve">GCP Functions</t>
  </si>
  <si>
    <t xml:space="preserve">Azure para documentos</t>
  </si>
  <si>
    <t xml:space="preserve">GCP Vertex AI (si aplica)</t>
  </si>
  <si>
    <t xml:space="preserve">COSTO MENSUAL NUBE (usando Free Tier recomendado) → $0 COP/mes durante 12 meses</t>
  </si>
  <si>
    <t xml:space="preserve">MANO DE OBRA – 4 APRENDICES SENA | 400 HORAS TOTALES</t>
  </si>
  <si>
    <t xml:space="preserve">Ley 2466/2025 – Reforma Laboral | SMMLV 2026: $1.750.905 COP | Etapa Productiva: 100% SMMLV</t>
  </si>
  <si>
    <t xml:space="preserve">DATO SALARIAL</t>
  </si>
  <si>
    <t xml:space="preserve">VALOR</t>
  </si>
  <si>
    <t xml:space="preserve">SMMLV 2026</t>
  </si>
  <si>
    <t xml:space="preserve">$1.750.905 COP</t>
  </si>
  <si>
    <t xml:space="preserve">Aprendiz Etapa Lectiva (75%)</t>
  </si>
  <si>
    <t xml:space="preserve">$1.313.179 COP</t>
  </si>
  <si>
    <t xml:space="preserve">Aprendiz Etapa Productiva (100%)</t>
  </si>
  <si>
    <t xml:space="preserve">Valor hora estimado (200h/mes)</t>
  </si>
  <si>
    <t xml:space="preserve">$8.755 COP/hora</t>
  </si>
  <si>
    <t xml:space="preserve">Horas totales del proyecto</t>
  </si>
  <si>
    <t xml:space="preserve">400 horas</t>
  </si>
  <si>
    <t xml:space="preserve">Duración estimada</t>
  </si>
  <si>
    <t xml:space="preserve">~25 semanas (2-3 días/semana)</t>
  </si>
  <si>
    <t xml:space="preserve">INTEGRANTE</t>
  </si>
  <si>
    <t xml:space="preserve">ROL</t>
  </si>
  <si>
    <t xml:space="preserve">HORAS TOTALES</t>
  </si>
  <si>
    <t xml:space="preserve">VALOR/HORA (COP)</t>
  </si>
  <si>
    <t xml:space="preserve">TOTAL (COP)</t>
  </si>
  <si>
    <t xml:space="preserve">OBSERVACIÓN</t>
  </si>
  <si>
    <t xml:space="preserve">Eydy Yuliana Bobadilla Cubillos</t>
  </si>
  <si>
    <t xml:space="preserve">Desarrolladora Frontend – UI/UX</t>
  </si>
  <si>
    <t xml:space="preserve">HTML, CSS, JS, Figma</t>
  </si>
  <si>
    <t xml:space="preserve">Santiago Ortigoza</t>
  </si>
  <si>
    <t xml:space="preserve">Desarrollador Backend – APIs REST</t>
  </si>
  <si>
    <t xml:space="preserve">Java/NetBeans, MySQL, Spring</t>
  </si>
  <si>
    <t xml:space="preserve">Danier Felipe Herrera Charry</t>
  </si>
  <si>
    <t xml:space="preserve">Desarrollador Full Stack</t>
  </si>
  <si>
    <t xml:space="preserve">Backend + Frontend + BD</t>
  </si>
  <si>
    <t xml:space="preserve">Johan Sebastian Martinez Gomez</t>
  </si>
  <si>
    <t xml:space="preserve">Analista / Líder de Proyecto</t>
  </si>
  <si>
    <t xml:space="preserve">Documentación, QA, gestión</t>
  </si>
  <si>
    <t xml:space="preserve">TOTAL MANO DE OBRA (400 horas – 4 integrantes)</t>
  </si>
  <si>
    <t xml:space="preserve">COSTO TOTAL DEL PROYECTO – SENA DESARROLLO DE SOFTWARE</t>
  </si>
  <si>
    <t xml:space="preserve">4 Integrantes | Presupuesto Objetivo: $30.000.000 COP | Junio 2026</t>
  </si>
  <si>
    <t xml:space="preserve">RUBRO</t>
  </si>
  <si>
    <t xml:space="preserve">DETALLE</t>
  </si>
  <si>
    <t xml:space="preserve">COSTO COP</t>
  </si>
  <si>
    <t xml:space="preserve">% DEL TOTAL</t>
  </si>
  <si>
    <t xml:space="preserve">Hardware – Portátiles</t>
  </si>
  <si>
    <t xml:space="preserve">4 portátiles (uno por integrante)</t>
  </si>
  <si>
    <t xml:space="preserve">Ktronix/Alkosto – aprox. $1.5M c/u</t>
  </si>
  <si>
    <t xml:space="preserve">Hardware – Escritorio</t>
  </si>
  <si>
    <t xml:space="preserve">4 equipos All-in-One para el taller</t>
  </si>
  <si>
    <t xml:space="preserve">Alkosto/Ktronix – aprox. $1.9M c/u</t>
  </si>
  <si>
    <t xml:space="preserve">Hardware – Periféricos</t>
  </si>
  <si>
    <t xml:space="preserve">Mouse, teclado, audífonos, cables × 4</t>
  </si>
  <si>
    <t xml:space="preserve">Mouse + teclado + accesorios</t>
  </si>
  <si>
    <t xml:space="preserve">Software</t>
  </si>
  <si>
    <t xml:space="preserve">GitHub Team anual (4 usuarios) – resto GRATIS</t>
  </si>
  <si>
    <t xml:space="preserve">GitHub $45.400/usuario/mes × 4 × 12</t>
  </si>
  <si>
    <t xml:space="preserve">Servicios Nube</t>
  </si>
  <si>
    <t xml:space="preserve">Free Tier AWS + GCP + Firebase – 12 meses</t>
  </si>
  <si>
    <t xml:space="preserve">Sin costo con Free Tier académico</t>
  </si>
  <si>
    <t xml:space="preserve">Mano de Obra</t>
  </si>
  <si>
    <t xml:space="preserve">4 integrantes × 100h × $8.755 COP/h</t>
  </si>
  <si>
    <t xml:space="preserve">Tarifa etapa productiva SENA 2026</t>
  </si>
  <si>
    <t xml:space="preserve">Imprevistos (10%)</t>
  </si>
  <si>
    <t xml:space="preserve">Reserva sobre subtotal</t>
  </si>
  <si>
    <t xml:space="preserve">Contingencias del proyecto</t>
  </si>
  <si>
    <t xml:space="preserve">COSTO TOTAL DEL PROYECTO</t>
  </si>
  <si>
    <t xml:space="preserve">Presupuesto objetivo: $30.000.000 COP</t>
  </si>
  <si>
    <t xml:space="preserve">🎯  Presupuesto objetivo: $30.000.000 COP  |  Costo estimado: ~$22.000.000 COP  |  Margen disponible: ~$8.000.000 COP</t>
  </si>
  <si>
    <t xml:space="preserve">Desarrolladora Frontend</t>
  </si>
  <si>
    <t xml:space="preserve">Desarrollador Backend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</si>
</sst>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9.5" hidden="false" customHeight="true" outlineLevel="0" collapsed="false"/>
    <row r="2" customFormat="false" ht="45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27.7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25.5" hidden="false" customHeight="true" outlineLevel="0" collapsed="false">
      <c r="A6" s="4" t="s">
        <v>3</v>
      </c>
      <c r="B6" s="4"/>
      <c r="C6" s="4"/>
      <c r="D6" s="4"/>
      <c r="E6" s="4"/>
      <c r="F6" s="4"/>
    </row>
    <row r="7" customFormat="false" ht="25.5" hidden="false" customHeight="true" outlineLevel="0" collapsed="false">
      <c r="A7" s="5" t="s">
        <v>4</v>
      </c>
      <c r="B7" s="5"/>
      <c r="C7" s="5"/>
      <c r="D7" s="5"/>
      <c r="E7" s="5"/>
      <c r="F7" s="5"/>
    </row>
    <row r="8" customFormat="false" ht="25.5" hidden="false" customHeight="true" outlineLevel="0" collapsed="false">
      <c r="A8" s="4" t="s">
        <v>5</v>
      </c>
      <c r="B8" s="4"/>
      <c r="C8" s="4"/>
      <c r="D8" s="4"/>
      <c r="E8" s="4"/>
      <c r="F8" s="4"/>
    </row>
    <row r="9" customFormat="false" ht="25.5" hidden="false" customHeight="true" outlineLevel="0" collapsed="false">
      <c r="A9" s="5" t="s">
        <v>6</v>
      </c>
      <c r="B9" s="5"/>
      <c r="C9" s="5"/>
      <c r="D9" s="5"/>
      <c r="E9" s="5"/>
      <c r="F9" s="5"/>
    </row>
    <row r="11" customFormat="false" ht="12" hidden="false" customHeight="true" outlineLevel="0" collapsed="false"/>
    <row r="12" customFormat="false" ht="24" hidden="false" customHeight="true" outlineLevel="0" collapsed="false">
      <c r="A12" s="6" t="s">
        <v>7</v>
      </c>
      <c r="B12" s="7" t="s">
        <v>8</v>
      </c>
      <c r="C12" s="7"/>
      <c r="D12" s="7"/>
      <c r="E12" s="7"/>
      <c r="F12" s="7"/>
    </row>
    <row r="13" customFormat="false" ht="24" hidden="false" customHeight="true" outlineLevel="0" collapsed="false">
      <c r="A13" s="8" t="s">
        <v>9</v>
      </c>
      <c r="B13" s="9" t="s">
        <v>10</v>
      </c>
      <c r="C13" s="9"/>
      <c r="D13" s="9"/>
      <c r="E13" s="9"/>
      <c r="F13" s="9"/>
    </row>
    <row r="14" customFormat="false" ht="24" hidden="false" customHeight="true" outlineLevel="0" collapsed="false">
      <c r="A14" s="6" t="s">
        <v>11</v>
      </c>
      <c r="B14" s="7" t="s">
        <v>12</v>
      </c>
      <c r="C14" s="7"/>
      <c r="D14" s="7"/>
      <c r="E14" s="7"/>
      <c r="F14" s="7"/>
    </row>
    <row r="15" customFormat="false" ht="24" hidden="false" customHeight="true" outlineLevel="0" collapsed="false">
      <c r="A15" s="8" t="s">
        <v>13</v>
      </c>
      <c r="B15" s="9" t="s">
        <v>14</v>
      </c>
      <c r="C15" s="9"/>
      <c r="D15" s="9"/>
      <c r="E15" s="9"/>
      <c r="F15" s="9"/>
    </row>
    <row r="16" customFormat="false" ht="24" hidden="false" customHeight="true" outlineLevel="0" collapsed="false">
      <c r="A16" s="6" t="s">
        <v>15</v>
      </c>
      <c r="B16" s="7" t="s">
        <v>16</v>
      </c>
      <c r="C16" s="7"/>
      <c r="D16" s="7"/>
      <c r="E16" s="7"/>
      <c r="F16" s="7"/>
    </row>
    <row r="17" customFormat="false" ht="24" hidden="false" customHeight="true" outlineLevel="0" collapsed="false">
      <c r="A17" s="8" t="s">
        <v>17</v>
      </c>
      <c r="B17" s="9" t="s">
        <v>18</v>
      </c>
      <c r="C17" s="9"/>
      <c r="D17" s="9"/>
      <c r="E17" s="9"/>
      <c r="F17" s="9"/>
    </row>
  </sheetData>
  <mergeCells count="13">
    <mergeCell ref="A2:F2"/>
    <mergeCell ref="A3:F3"/>
    <mergeCell ref="A5:F5"/>
    <mergeCell ref="A6:F6"/>
    <mergeCell ref="A7:F7"/>
    <mergeCell ref="A8:F8"/>
    <mergeCell ref="A9:F9"/>
    <mergeCell ref="B12:F12"/>
    <mergeCell ref="B13:F13"/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48"/>
  </cols>
  <sheetData>
    <row r="1" customFormat="false" ht="31.5" hidden="false" customHeight="true" outlineLevel="0" collapsed="false">
      <c r="A1" s="10" t="s">
        <v>19</v>
      </c>
      <c r="B1" s="10"/>
      <c r="C1" s="10"/>
      <c r="D1" s="10"/>
      <c r="E1" s="10"/>
      <c r="F1" s="10"/>
      <c r="G1" s="10"/>
    </row>
    <row r="2" customFormat="false" ht="21.75" hidden="false" customHeight="true" outlineLevel="0" collapsed="false">
      <c r="A2" s="11" t="s">
        <v>20</v>
      </c>
      <c r="B2" s="11"/>
      <c r="C2" s="11"/>
      <c r="D2" s="11"/>
      <c r="E2" s="11"/>
      <c r="F2" s="11"/>
      <c r="G2" s="11"/>
    </row>
    <row r="3" customFormat="false" ht="21.75" hidden="false" customHeight="true" outlineLevel="0" collapsed="false">
      <c r="A3" s="12" t="s">
        <v>21</v>
      </c>
      <c r="B3" s="12"/>
      <c r="C3" s="12"/>
      <c r="D3" s="12"/>
      <c r="E3" s="12"/>
      <c r="F3" s="12"/>
      <c r="G3" s="12"/>
    </row>
    <row r="4" customFormat="false" ht="25.5" hidden="false" customHeight="true" outlineLevel="0" collapsed="false">
      <c r="A4" s="13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30" hidden="false" customHeight="true" outlineLevel="0" collapsed="false">
      <c r="A5" s="14" t="n">
        <v>1</v>
      </c>
      <c r="B5" s="15" t="s">
        <v>29</v>
      </c>
      <c r="C5" s="14" t="s">
        <v>30</v>
      </c>
      <c r="D5" s="14" t="s">
        <v>31</v>
      </c>
      <c r="E5" s="14" t="s">
        <v>32</v>
      </c>
      <c r="F5" s="16" t="n">
        <v>1599900</v>
      </c>
      <c r="G5" s="14" t="s">
        <v>33</v>
      </c>
    </row>
    <row r="6" customFormat="false" ht="30" hidden="false" customHeight="true" outlineLevel="0" collapsed="false">
      <c r="A6" s="17" t="n">
        <v>2</v>
      </c>
      <c r="B6" s="18" t="s">
        <v>34</v>
      </c>
      <c r="C6" s="17" t="s">
        <v>35</v>
      </c>
      <c r="D6" s="17" t="s">
        <v>31</v>
      </c>
      <c r="E6" s="17" t="s">
        <v>36</v>
      </c>
      <c r="F6" s="19" t="n">
        <v>1399900</v>
      </c>
      <c r="G6" s="17" t="s">
        <v>37</v>
      </c>
    </row>
    <row r="7" customFormat="false" ht="30" hidden="false" customHeight="true" outlineLevel="0" collapsed="false">
      <c r="A7" s="14" t="n">
        <v>3</v>
      </c>
      <c r="B7" s="15" t="s">
        <v>38</v>
      </c>
      <c r="C7" s="14" t="s">
        <v>39</v>
      </c>
      <c r="D7" s="14" t="s">
        <v>31</v>
      </c>
      <c r="E7" s="14" t="s">
        <v>32</v>
      </c>
      <c r="F7" s="16" t="n">
        <v>1799900</v>
      </c>
      <c r="G7" s="14" t="s">
        <v>40</v>
      </c>
    </row>
    <row r="8" customFormat="false" ht="30" hidden="false" customHeight="true" outlineLevel="0" collapsed="false">
      <c r="A8" s="17" t="n">
        <v>4</v>
      </c>
      <c r="B8" s="18" t="s">
        <v>41</v>
      </c>
      <c r="C8" s="17" t="s">
        <v>42</v>
      </c>
      <c r="D8" s="17" t="s">
        <v>31</v>
      </c>
      <c r="E8" s="17" t="s">
        <v>36</v>
      </c>
      <c r="F8" s="19" t="n">
        <v>1299900</v>
      </c>
      <c r="G8" s="17" t="s">
        <v>43</v>
      </c>
    </row>
    <row r="9" customFormat="false" ht="24" hidden="false" customHeight="true" outlineLevel="0" collapsed="false">
      <c r="A9" s="20" t="s">
        <v>44</v>
      </c>
      <c r="B9" s="20"/>
      <c r="C9" s="20"/>
      <c r="D9" s="20"/>
      <c r="E9" s="20"/>
      <c r="F9" s="21" t="n">
        <f aca="false">SUM(F5:F8)</f>
        <v>6099600</v>
      </c>
      <c r="G9" s="22"/>
    </row>
    <row r="11" customFormat="false" ht="21.75" hidden="false" customHeight="true" outlineLevel="0" collapsed="false">
      <c r="A11" s="12" t="s">
        <v>45</v>
      </c>
      <c r="B11" s="12"/>
      <c r="C11" s="12"/>
      <c r="D11" s="12"/>
      <c r="E11" s="12"/>
      <c r="F11" s="12"/>
      <c r="G11" s="12"/>
    </row>
    <row r="12" customFormat="false" ht="25.5" hidden="false" customHeight="true" outlineLevel="0" collapsed="false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</row>
    <row r="13" customFormat="false" ht="30" hidden="false" customHeight="true" outlineLevel="0" collapsed="false">
      <c r="A13" s="14" t="n">
        <v>1</v>
      </c>
      <c r="B13" s="15" t="s">
        <v>46</v>
      </c>
      <c r="C13" s="14" t="s">
        <v>42</v>
      </c>
      <c r="D13" s="14" t="s">
        <v>31</v>
      </c>
      <c r="E13" s="14" t="s">
        <v>32</v>
      </c>
      <c r="F13" s="16" t="n">
        <v>1799900</v>
      </c>
      <c r="G13" s="14" t="s">
        <v>47</v>
      </c>
    </row>
    <row r="14" customFormat="false" ht="30" hidden="false" customHeight="true" outlineLevel="0" collapsed="false">
      <c r="A14" s="17" t="n">
        <v>2</v>
      </c>
      <c r="B14" s="18" t="s">
        <v>48</v>
      </c>
      <c r="C14" s="17" t="s">
        <v>39</v>
      </c>
      <c r="D14" s="17" t="s">
        <v>31</v>
      </c>
      <c r="E14" s="17" t="s">
        <v>32</v>
      </c>
      <c r="F14" s="19" t="n">
        <v>2099900</v>
      </c>
      <c r="G14" s="17" t="s">
        <v>49</v>
      </c>
    </row>
    <row r="15" customFormat="false" ht="30" hidden="false" customHeight="true" outlineLevel="0" collapsed="false">
      <c r="A15" s="14" t="n">
        <v>3</v>
      </c>
      <c r="B15" s="15" t="s">
        <v>50</v>
      </c>
      <c r="C15" s="14" t="s">
        <v>35</v>
      </c>
      <c r="D15" s="14" t="s">
        <v>31</v>
      </c>
      <c r="E15" s="14" t="s">
        <v>36</v>
      </c>
      <c r="F15" s="16" t="n">
        <v>1699900</v>
      </c>
      <c r="G15" s="14" t="s">
        <v>40</v>
      </c>
    </row>
    <row r="16" customFormat="false" ht="30" hidden="false" customHeight="true" outlineLevel="0" collapsed="false">
      <c r="A16" s="17" t="n">
        <v>4</v>
      </c>
      <c r="B16" s="18" t="s">
        <v>51</v>
      </c>
      <c r="C16" s="17" t="s">
        <v>52</v>
      </c>
      <c r="D16" s="17" t="s">
        <v>31</v>
      </c>
      <c r="E16" s="17" t="s">
        <v>36</v>
      </c>
      <c r="F16" s="19" t="n">
        <v>1899900</v>
      </c>
      <c r="G16" s="17" t="s">
        <v>53</v>
      </c>
    </row>
    <row r="17" customFormat="false" ht="24" hidden="false" customHeight="true" outlineLevel="0" collapsed="false">
      <c r="A17" s="11" t="s">
        <v>54</v>
      </c>
      <c r="B17" s="11"/>
      <c r="C17" s="11"/>
      <c r="D17" s="11"/>
      <c r="E17" s="11"/>
      <c r="F17" s="21" t="n">
        <f aca="false">SUM(F13:F16)</f>
        <v>7499600</v>
      </c>
      <c r="G17" s="22"/>
    </row>
    <row r="19" customFormat="false" ht="21.75" hidden="false" customHeight="true" outlineLevel="0" collapsed="false">
      <c r="A19" s="12" t="s">
        <v>55</v>
      </c>
      <c r="B19" s="12"/>
      <c r="C19" s="12"/>
      <c r="D19" s="12"/>
      <c r="E19" s="12"/>
      <c r="F19" s="12"/>
      <c r="G19" s="12"/>
    </row>
    <row r="20" customFormat="false" ht="25.5" hidden="false" customHeight="true" outlineLevel="0" collapsed="false">
      <c r="A20" s="13" t="s">
        <v>22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28</v>
      </c>
    </row>
    <row r="21" customFormat="false" ht="21.75" hidden="false" customHeight="true" outlineLevel="0" collapsed="false">
      <c r="A21" s="14" t="n">
        <v>1</v>
      </c>
      <c r="B21" s="15" t="s">
        <v>61</v>
      </c>
      <c r="C21" s="14" t="s">
        <v>62</v>
      </c>
      <c r="D21" s="14" t="n">
        <v>4</v>
      </c>
      <c r="E21" s="16" t="n">
        <v>35900</v>
      </c>
      <c r="F21" s="16" t="n">
        <f aca="false">D21*E21</f>
        <v>143600</v>
      </c>
      <c r="G21" s="14" t="s">
        <v>63</v>
      </c>
    </row>
    <row r="22" customFormat="false" ht="21.75" hidden="false" customHeight="true" outlineLevel="0" collapsed="false">
      <c r="A22" s="17" t="n">
        <v>2</v>
      </c>
      <c r="B22" s="18" t="s">
        <v>64</v>
      </c>
      <c r="C22" s="17" t="s">
        <v>65</v>
      </c>
      <c r="D22" s="17" t="n">
        <v>4</v>
      </c>
      <c r="E22" s="19" t="n">
        <v>52900</v>
      </c>
      <c r="F22" s="19" t="n">
        <f aca="false">D22*E22</f>
        <v>211600</v>
      </c>
      <c r="G22" s="17" t="s">
        <v>66</v>
      </c>
    </row>
    <row r="23" customFormat="false" ht="21.75" hidden="false" customHeight="true" outlineLevel="0" collapsed="false">
      <c r="A23" s="14" t="n">
        <v>3</v>
      </c>
      <c r="B23" s="15" t="s">
        <v>67</v>
      </c>
      <c r="C23" s="14" t="s">
        <v>68</v>
      </c>
      <c r="D23" s="14" t="n">
        <v>4</v>
      </c>
      <c r="E23" s="16" t="n">
        <v>45900</v>
      </c>
      <c r="F23" s="16" t="n">
        <f aca="false">D23*E23</f>
        <v>183600</v>
      </c>
      <c r="G23" s="14" t="s">
        <v>63</v>
      </c>
    </row>
    <row r="24" customFormat="false" ht="21.75" hidden="false" customHeight="true" outlineLevel="0" collapsed="false">
      <c r="A24" s="17" t="n">
        <v>4</v>
      </c>
      <c r="B24" s="18" t="s">
        <v>69</v>
      </c>
      <c r="C24" s="17" t="s">
        <v>70</v>
      </c>
      <c r="D24" s="17" t="n">
        <v>4</v>
      </c>
      <c r="E24" s="19" t="n">
        <v>89900</v>
      </c>
      <c r="F24" s="19" t="n">
        <f aca="false">D24*E24</f>
        <v>359600</v>
      </c>
      <c r="G24" s="17" t="s">
        <v>66</v>
      </c>
    </row>
    <row r="25" customFormat="false" ht="21.75" hidden="false" customHeight="true" outlineLevel="0" collapsed="false">
      <c r="A25" s="14" t="n">
        <v>5</v>
      </c>
      <c r="B25" s="15" t="s">
        <v>71</v>
      </c>
      <c r="C25" s="14" t="s">
        <v>72</v>
      </c>
      <c r="D25" s="14" t="n">
        <v>4</v>
      </c>
      <c r="E25" s="16" t="n">
        <v>25900</v>
      </c>
      <c r="F25" s="16" t="n">
        <f aca="false">D25*E25</f>
        <v>103600</v>
      </c>
      <c r="G25" s="14" t="s">
        <v>63</v>
      </c>
    </row>
    <row r="26" customFormat="false" ht="21.75" hidden="false" customHeight="true" outlineLevel="0" collapsed="false">
      <c r="A26" s="17" t="n">
        <v>6</v>
      </c>
      <c r="B26" s="18" t="s">
        <v>73</v>
      </c>
      <c r="C26" s="17" t="s">
        <v>74</v>
      </c>
      <c r="D26" s="17" t="n">
        <v>4</v>
      </c>
      <c r="E26" s="19" t="n">
        <v>19900</v>
      </c>
      <c r="F26" s="19" t="n">
        <f aca="false">D26*E26</f>
        <v>79600</v>
      </c>
      <c r="G26" s="17" t="s">
        <v>66</v>
      </c>
    </row>
    <row r="27" customFormat="false" ht="21.75" hidden="false" customHeight="true" outlineLevel="0" collapsed="false">
      <c r="A27" s="14" t="n">
        <v>7</v>
      </c>
      <c r="B27" s="15" t="s">
        <v>75</v>
      </c>
      <c r="C27" s="14" t="s">
        <v>76</v>
      </c>
      <c r="D27" s="14" t="n">
        <v>4</v>
      </c>
      <c r="E27" s="16" t="n">
        <v>35900</v>
      </c>
      <c r="F27" s="16" t="n">
        <f aca="false">D27*E27</f>
        <v>143600</v>
      </c>
      <c r="G27" s="14" t="s">
        <v>63</v>
      </c>
    </row>
    <row r="28" customFormat="false" ht="21.75" hidden="false" customHeight="true" outlineLevel="0" collapsed="false">
      <c r="A28" s="17" t="n">
        <v>8</v>
      </c>
      <c r="B28" s="18" t="s">
        <v>77</v>
      </c>
      <c r="C28" s="17" t="s">
        <v>78</v>
      </c>
      <c r="D28" s="17" t="n">
        <v>4</v>
      </c>
      <c r="E28" s="19" t="n">
        <v>45900</v>
      </c>
      <c r="F28" s="19" t="n">
        <f aca="false">D28*E28</f>
        <v>183600</v>
      </c>
      <c r="G28" s="17" t="s">
        <v>63</v>
      </c>
    </row>
    <row r="29" customFormat="false" ht="21.75" hidden="false" customHeight="true" outlineLevel="0" collapsed="false">
      <c r="A29" s="14" t="n">
        <v>9</v>
      </c>
      <c r="B29" s="15" t="s">
        <v>79</v>
      </c>
      <c r="C29" s="14" t="s">
        <v>80</v>
      </c>
      <c r="D29" s="14" t="n">
        <v>4</v>
      </c>
      <c r="E29" s="16" t="n">
        <v>55900</v>
      </c>
      <c r="F29" s="16" t="n">
        <f aca="false">D29*E29</f>
        <v>223600</v>
      </c>
      <c r="G29" s="14" t="s">
        <v>66</v>
      </c>
    </row>
    <row r="30" customFormat="false" ht="21.75" hidden="false" customHeight="true" outlineLevel="0" collapsed="false">
      <c r="A30" s="17" t="n">
        <v>10</v>
      </c>
      <c r="B30" s="18" t="s">
        <v>81</v>
      </c>
      <c r="C30" s="17" t="s">
        <v>82</v>
      </c>
      <c r="D30" s="17" t="n">
        <v>4</v>
      </c>
      <c r="E30" s="19" t="n">
        <v>25900</v>
      </c>
      <c r="F30" s="19" t="n">
        <f aca="false">D30*E30</f>
        <v>103600</v>
      </c>
      <c r="G30" s="17" t="s">
        <v>63</v>
      </c>
    </row>
    <row r="31" customFormat="false" ht="24" hidden="false" customHeight="true" outlineLevel="0" collapsed="false">
      <c r="A31" s="11" t="s">
        <v>83</v>
      </c>
      <c r="B31" s="11"/>
      <c r="C31" s="11"/>
      <c r="D31" s="11"/>
      <c r="E31" s="22"/>
      <c r="F31" s="21" t="n">
        <f aca="false">SUM(F21:F30)</f>
        <v>1736000</v>
      </c>
      <c r="G31" s="22"/>
    </row>
    <row r="33" customFormat="false" ht="30" hidden="false" customHeight="true" outlineLevel="0" collapsed="false">
      <c r="A33" s="23" t="s">
        <v>84</v>
      </c>
      <c r="B33" s="23"/>
      <c r="C33" s="23"/>
      <c r="D33" s="23"/>
      <c r="E33" s="23"/>
      <c r="F33" s="24" t="n">
        <f aca="false">F9+F17+F31</f>
        <v>15335200</v>
      </c>
      <c r="G33" s="25"/>
    </row>
  </sheetData>
  <mergeCells count="9">
    <mergeCell ref="A1:G1"/>
    <mergeCell ref="A2:G2"/>
    <mergeCell ref="A3:G3"/>
    <mergeCell ref="A9:E9"/>
    <mergeCell ref="A11:G11"/>
    <mergeCell ref="A17:E17"/>
    <mergeCell ref="A19:G19"/>
    <mergeCell ref="A31:D31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31.5" hidden="false" customHeight="true" outlineLevel="0" collapsed="false">
      <c r="A1" s="10" t="s">
        <v>85</v>
      </c>
      <c r="B1" s="10"/>
      <c r="C1" s="10"/>
      <c r="D1" s="10"/>
      <c r="E1" s="10"/>
    </row>
    <row r="2" customFormat="false" ht="21.75" hidden="false" customHeight="true" outlineLevel="0" collapsed="false">
      <c r="A2" s="11" t="s">
        <v>86</v>
      </c>
      <c r="B2" s="11"/>
      <c r="C2" s="11"/>
      <c r="D2" s="11"/>
      <c r="E2" s="11"/>
    </row>
    <row r="4" customFormat="false" ht="25.5" hidden="false" customHeight="true" outlineLevel="0" collapsed="false">
      <c r="A4" s="13" t="s">
        <v>22</v>
      </c>
      <c r="B4" s="13" t="s">
        <v>87</v>
      </c>
      <c r="C4" s="13" t="s">
        <v>88</v>
      </c>
      <c r="D4" s="13" t="s">
        <v>89</v>
      </c>
      <c r="E4" s="13" t="s">
        <v>90</v>
      </c>
    </row>
    <row r="5" customFormat="false" ht="21.75" hidden="false" customHeight="true" outlineLevel="0" collapsed="false">
      <c r="A5" s="14" t="n">
        <v>1</v>
      </c>
      <c r="B5" s="15" t="s">
        <v>91</v>
      </c>
      <c r="C5" s="14" t="s">
        <v>92</v>
      </c>
      <c r="D5" s="16" t="n">
        <v>0</v>
      </c>
      <c r="E5" s="14" t="s">
        <v>93</v>
      </c>
    </row>
    <row r="6" customFormat="false" ht="21.75" hidden="false" customHeight="true" outlineLevel="0" collapsed="false">
      <c r="A6" s="17" t="n">
        <v>2</v>
      </c>
      <c r="B6" s="18" t="s">
        <v>94</v>
      </c>
      <c r="C6" s="17" t="s">
        <v>95</v>
      </c>
      <c r="D6" s="19" t="n">
        <v>0</v>
      </c>
      <c r="E6" s="17" t="s">
        <v>96</v>
      </c>
    </row>
    <row r="7" customFormat="false" ht="21.75" hidden="false" customHeight="true" outlineLevel="0" collapsed="false">
      <c r="A7" s="14" t="n">
        <v>3</v>
      </c>
      <c r="B7" s="15" t="s">
        <v>97</v>
      </c>
      <c r="C7" s="14" t="s">
        <v>98</v>
      </c>
      <c r="D7" s="16" t="n">
        <v>0</v>
      </c>
      <c r="E7" s="14" t="s">
        <v>99</v>
      </c>
    </row>
    <row r="8" customFormat="false" ht="21.75" hidden="false" customHeight="true" outlineLevel="0" collapsed="false">
      <c r="A8" s="17" t="n">
        <v>4</v>
      </c>
      <c r="B8" s="18" t="s">
        <v>100</v>
      </c>
      <c r="C8" s="17" t="s">
        <v>101</v>
      </c>
      <c r="D8" s="19" t="n">
        <v>0</v>
      </c>
      <c r="E8" s="17" t="s">
        <v>102</v>
      </c>
    </row>
    <row r="9" customFormat="false" ht="21.75" hidden="false" customHeight="true" outlineLevel="0" collapsed="false">
      <c r="A9" s="14" t="n">
        <v>5</v>
      </c>
      <c r="B9" s="15" t="s">
        <v>103</v>
      </c>
      <c r="C9" s="14" t="s">
        <v>104</v>
      </c>
      <c r="D9" s="16" t="n">
        <v>0</v>
      </c>
      <c r="E9" s="14" t="s">
        <v>105</v>
      </c>
    </row>
    <row r="10" customFormat="false" ht="21.75" hidden="false" customHeight="true" outlineLevel="0" collapsed="false">
      <c r="A10" s="17" t="n">
        <v>6</v>
      </c>
      <c r="B10" s="18" t="s">
        <v>106</v>
      </c>
      <c r="C10" s="17" t="s">
        <v>107</v>
      </c>
      <c r="D10" s="19" t="n">
        <v>0</v>
      </c>
      <c r="E10" s="17" t="s">
        <v>108</v>
      </c>
    </row>
    <row r="11" customFormat="false" ht="21.75" hidden="false" customHeight="true" outlineLevel="0" collapsed="false">
      <c r="A11" s="14" t="n">
        <v>7</v>
      </c>
      <c r="B11" s="15" t="s">
        <v>109</v>
      </c>
      <c r="C11" s="14" t="s">
        <v>110</v>
      </c>
      <c r="D11" s="16" t="n">
        <v>0</v>
      </c>
      <c r="E11" s="14" t="s">
        <v>111</v>
      </c>
    </row>
    <row r="12" customFormat="false" ht="21.75" hidden="false" customHeight="true" outlineLevel="0" collapsed="false">
      <c r="A12" s="17" t="n">
        <v>8</v>
      </c>
      <c r="B12" s="18" t="s">
        <v>112</v>
      </c>
      <c r="C12" s="17" t="s">
        <v>113</v>
      </c>
      <c r="D12" s="19" t="n">
        <v>181600</v>
      </c>
      <c r="E12" s="17" t="s">
        <v>114</v>
      </c>
    </row>
    <row r="13" customFormat="false" ht="21.75" hidden="false" customHeight="true" outlineLevel="0" collapsed="false">
      <c r="A13" s="14" t="n">
        <v>9</v>
      </c>
      <c r="B13" s="15" t="s">
        <v>115</v>
      </c>
      <c r="C13" s="14" t="s">
        <v>116</v>
      </c>
      <c r="D13" s="16" t="n">
        <v>0</v>
      </c>
      <c r="E13" s="14" t="s">
        <v>117</v>
      </c>
    </row>
    <row r="14" customFormat="false" ht="21.75" hidden="false" customHeight="true" outlineLevel="0" collapsed="false">
      <c r="A14" s="17" t="n">
        <v>10</v>
      </c>
      <c r="B14" s="18" t="s">
        <v>118</v>
      </c>
      <c r="C14" s="17" t="s">
        <v>119</v>
      </c>
      <c r="D14" s="19" t="n">
        <v>0</v>
      </c>
      <c r="E14" s="17" t="s">
        <v>120</v>
      </c>
    </row>
    <row r="15" customFormat="false" ht="21.75" hidden="false" customHeight="true" outlineLevel="0" collapsed="false">
      <c r="A15" s="14" t="n">
        <v>11</v>
      </c>
      <c r="B15" s="15" t="s">
        <v>121</v>
      </c>
      <c r="C15" s="14" t="s">
        <v>122</v>
      </c>
      <c r="D15" s="16" t="n">
        <v>0</v>
      </c>
      <c r="E15" s="14" t="s">
        <v>123</v>
      </c>
    </row>
    <row r="16" customFormat="false" ht="21.75" hidden="false" customHeight="true" outlineLevel="0" collapsed="false">
      <c r="A16" s="17" t="n">
        <v>12</v>
      </c>
      <c r="B16" s="18" t="s">
        <v>124</v>
      </c>
      <c r="C16" s="17" t="s">
        <v>125</v>
      </c>
      <c r="D16" s="19" t="n">
        <v>0</v>
      </c>
      <c r="E16" s="17" t="s">
        <v>126</v>
      </c>
    </row>
    <row r="17" customFormat="false" ht="21.75" hidden="false" customHeight="true" outlineLevel="0" collapsed="false">
      <c r="A17" s="14" t="n">
        <v>13</v>
      </c>
      <c r="B17" s="15" t="s">
        <v>127</v>
      </c>
      <c r="C17" s="14" t="s">
        <v>128</v>
      </c>
      <c r="D17" s="16" t="n">
        <v>0</v>
      </c>
      <c r="E17" s="14" t="s">
        <v>129</v>
      </c>
    </row>
    <row r="18" customFormat="false" ht="21.75" hidden="false" customHeight="true" outlineLevel="0" collapsed="false">
      <c r="A18" s="17" t="n">
        <v>14</v>
      </c>
      <c r="B18" s="18" t="s">
        <v>130</v>
      </c>
      <c r="C18" s="17" t="s">
        <v>131</v>
      </c>
      <c r="D18" s="19" t="n">
        <v>0</v>
      </c>
      <c r="E18" s="17" t="s">
        <v>132</v>
      </c>
    </row>
    <row r="19" customFormat="false" ht="21.75" hidden="false" customHeight="true" outlineLevel="0" collapsed="false">
      <c r="A19" s="14" t="n">
        <v>15</v>
      </c>
      <c r="B19" s="15" t="s">
        <v>133</v>
      </c>
      <c r="C19" s="14" t="s">
        <v>134</v>
      </c>
      <c r="D19" s="16" t="n">
        <v>0</v>
      </c>
      <c r="E19" s="14" t="s">
        <v>135</v>
      </c>
    </row>
    <row r="20" customFormat="false" ht="21.75" hidden="false" customHeight="true" outlineLevel="0" collapsed="false">
      <c r="A20" s="17" t="n">
        <v>16</v>
      </c>
      <c r="B20" s="18" t="s">
        <v>136</v>
      </c>
      <c r="C20" s="17" t="s">
        <v>137</v>
      </c>
      <c r="D20" s="19" t="n">
        <v>0</v>
      </c>
      <c r="E20" s="17" t="s">
        <v>138</v>
      </c>
    </row>
    <row r="21" customFormat="false" ht="21.75" hidden="false" customHeight="true" outlineLevel="0" collapsed="false">
      <c r="A21" s="14" t="n">
        <v>17</v>
      </c>
      <c r="B21" s="15" t="s">
        <v>139</v>
      </c>
      <c r="C21" s="14" t="s">
        <v>140</v>
      </c>
      <c r="D21" s="16" t="n">
        <v>0</v>
      </c>
      <c r="E21" s="14" t="s">
        <v>141</v>
      </c>
    </row>
    <row r="22" customFormat="false" ht="25.5" hidden="false" customHeight="true" outlineLevel="0" collapsed="false">
      <c r="A22" s="11" t="s">
        <v>142</v>
      </c>
      <c r="B22" s="11"/>
      <c r="C22" s="11"/>
      <c r="D22" s="21" t="n">
        <f aca="false">SUM(D5:D21)</f>
        <v>181600</v>
      </c>
      <c r="E22" s="22"/>
    </row>
    <row r="23" customFormat="false" ht="25.5" hidden="false" customHeight="true" outlineLevel="0" collapsed="false">
      <c r="A23" s="26" t="s">
        <v>143</v>
      </c>
      <c r="B23" s="26"/>
      <c r="C23" s="26"/>
      <c r="D23" s="27" t="n">
        <f aca="false">D22*12</f>
        <v>2179200</v>
      </c>
      <c r="E23" s="25"/>
    </row>
  </sheetData>
  <mergeCells count="4">
    <mergeCell ref="A1:E1"/>
    <mergeCell ref="A2:E2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0" t="s">
        <v>144</v>
      </c>
      <c r="B1" s="10"/>
      <c r="C1" s="10"/>
      <c r="D1" s="10"/>
      <c r="E1" s="10"/>
      <c r="F1" s="10"/>
      <c r="G1" s="10"/>
      <c r="H1" s="10"/>
    </row>
    <row r="2" customFormat="false" ht="21.75" hidden="false" customHeight="true" outlineLevel="0" collapsed="false">
      <c r="A2" s="11" t="s">
        <v>145</v>
      </c>
      <c r="B2" s="11"/>
      <c r="C2" s="11"/>
      <c r="D2" s="11"/>
      <c r="E2" s="11"/>
      <c r="F2" s="11"/>
      <c r="G2" s="11"/>
      <c r="H2" s="11"/>
    </row>
    <row r="3" customFormat="false" ht="21.75" hidden="false" customHeight="true" outlineLevel="0" collapsed="false">
      <c r="A3" s="12" t="s">
        <v>146</v>
      </c>
      <c r="B3" s="12"/>
      <c r="C3" s="12"/>
      <c r="D3" s="12"/>
      <c r="E3" s="12"/>
      <c r="F3" s="12"/>
      <c r="G3" s="12"/>
      <c r="H3" s="12"/>
    </row>
    <row r="4" customFormat="false" ht="34.5" hidden="false" customHeight="true" outlineLevel="0" collapsed="false">
      <c r="A4" s="13" t="s">
        <v>147</v>
      </c>
      <c r="B4" s="13" t="s">
        <v>148</v>
      </c>
      <c r="C4" s="13" t="s">
        <v>149</v>
      </c>
      <c r="D4" s="13" t="s">
        <v>150</v>
      </c>
      <c r="E4" s="13" t="s">
        <v>151</v>
      </c>
      <c r="F4" s="13" t="s">
        <v>152</v>
      </c>
      <c r="G4" s="13" t="s">
        <v>153</v>
      </c>
      <c r="H4" s="13" t="s">
        <v>154</v>
      </c>
    </row>
    <row r="5" customFormat="false" ht="69.75" hidden="false" customHeight="true" outlineLevel="0" collapsed="false">
      <c r="A5" s="28" t="s">
        <v>155</v>
      </c>
      <c r="B5" s="29" t="s">
        <v>156</v>
      </c>
      <c r="C5" s="29" t="s">
        <v>157</v>
      </c>
      <c r="D5" s="29" t="s">
        <v>158</v>
      </c>
      <c r="E5" s="29" t="s">
        <v>159</v>
      </c>
      <c r="F5" s="29" t="s">
        <v>160</v>
      </c>
      <c r="G5" s="29" t="s">
        <v>161</v>
      </c>
      <c r="H5" s="29" t="s">
        <v>162</v>
      </c>
    </row>
    <row r="6" customFormat="false" ht="69.75" hidden="false" customHeight="true" outlineLevel="0" collapsed="false">
      <c r="A6" s="30" t="s">
        <v>163</v>
      </c>
      <c r="B6" s="31" t="s">
        <v>164</v>
      </c>
      <c r="C6" s="31" t="s">
        <v>165</v>
      </c>
      <c r="D6" s="31" t="s">
        <v>166</v>
      </c>
      <c r="E6" s="31" t="s">
        <v>167</v>
      </c>
      <c r="F6" s="31" t="s">
        <v>168</v>
      </c>
      <c r="G6" s="31" t="s">
        <v>169</v>
      </c>
      <c r="H6" s="31" t="s">
        <v>170</v>
      </c>
    </row>
    <row r="7" customFormat="false" ht="69.75" hidden="false" customHeight="true" outlineLevel="0" collapsed="false">
      <c r="A7" s="28" t="s">
        <v>171</v>
      </c>
      <c r="B7" s="29" t="s">
        <v>172</v>
      </c>
      <c r="C7" s="29" t="s">
        <v>173</v>
      </c>
      <c r="D7" s="29" t="s">
        <v>174</v>
      </c>
      <c r="E7" s="29" t="s">
        <v>175</v>
      </c>
      <c r="F7" s="29" t="s">
        <v>176</v>
      </c>
      <c r="G7" s="29" t="s">
        <v>177</v>
      </c>
      <c r="H7" s="29" t="s">
        <v>178</v>
      </c>
    </row>
    <row r="8" customFormat="false" ht="69.75" hidden="false" customHeight="true" outlineLevel="0" collapsed="false">
      <c r="A8" s="30" t="s">
        <v>179</v>
      </c>
      <c r="B8" s="31" t="s">
        <v>180</v>
      </c>
      <c r="C8" s="31" t="s">
        <v>181</v>
      </c>
      <c r="D8" s="31" t="s">
        <v>182</v>
      </c>
      <c r="E8" s="31" t="s">
        <v>183</v>
      </c>
      <c r="F8" s="31" t="s">
        <v>184</v>
      </c>
      <c r="G8" s="31" t="s">
        <v>185</v>
      </c>
      <c r="H8" s="31" t="s">
        <v>186</v>
      </c>
    </row>
    <row r="9" customFormat="false" ht="69.75" hidden="false" customHeight="true" outlineLevel="0" collapsed="false">
      <c r="A9" s="28" t="s">
        <v>187</v>
      </c>
      <c r="B9" s="29" t="s">
        <v>188</v>
      </c>
      <c r="C9" s="29" t="s">
        <v>189</v>
      </c>
      <c r="D9" s="29" t="s">
        <v>190</v>
      </c>
      <c r="E9" s="29" t="s">
        <v>191</v>
      </c>
      <c r="F9" s="29" t="s">
        <v>192</v>
      </c>
      <c r="G9" s="29" t="s">
        <v>193</v>
      </c>
      <c r="H9" s="29" t="s">
        <v>194</v>
      </c>
    </row>
    <row r="10" customFormat="false" ht="69.75" hidden="false" customHeight="true" outlineLevel="0" collapsed="false">
      <c r="A10" s="30" t="s">
        <v>195</v>
      </c>
      <c r="B10" s="31" t="s">
        <v>196</v>
      </c>
      <c r="C10" s="31" t="s">
        <v>197</v>
      </c>
      <c r="D10" s="31" t="s">
        <v>198</v>
      </c>
      <c r="E10" s="31" t="s">
        <v>199</v>
      </c>
      <c r="F10" s="31" t="s">
        <v>200</v>
      </c>
      <c r="G10" s="31" t="s">
        <v>201</v>
      </c>
      <c r="H10" s="31" t="s">
        <v>202</v>
      </c>
    </row>
    <row r="11" customFormat="false" ht="69.75" hidden="false" customHeight="true" outlineLevel="0" collapsed="false">
      <c r="A11" s="28" t="s">
        <v>203</v>
      </c>
      <c r="B11" s="29" t="s">
        <v>204</v>
      </c>
      <c r="C11" s="29" t="s">
        <v>205</v>
      </c>
      <c r="D11" s="29" t="s">
        <v>206</v>
      </c>
      <c r="E11" s="29" t="s">
        <v>207</v>
      </c>
      <c r="F11" s="29" t="s">
        <v>208</v>
      </c>
      <c r="G11" s="29" t="s">
        <v>209</v>
      </c>
      <c r="H11" s="29" t="s">
        <v>210</v>
      </c>
    </row>
    <row r="13" customFormat="false" ht="9.75" hidden="false" customHeight="true" outlineLevel="0" collapsed="false"/>
    <row r="14" customFormat="false" ht="21.75" hidden="false" customHeight="true" outlineLevel="0" collapsed="false">
      <c r="A14" s="12" t="s">
        <v>211</v>
      </c>
      <c r="B14" s="12"/>
      <c r="C14" s="12"/>
      <c r="D14" s="12"/>
      <c r="E14" s="12"/>
      <c r="F14" s="12"/>
      <c r="G14" s="12"/>
      <c r="H14" s="12"/>
    </row>
    <row r="15" customFormat="false" ht="25.5" hidden="false" customHeight="true" outlineLevel="0" collapsed="false">
      <c r="A15" s="13" t="s">
        <v>212</v>
      </c>
      <c r="B15" s="13" t="s">
        <v>213</v>
      </c>
      <c r="C15" s="13" t="s">
        <v>214</v>
      </c>
      <c r="D15" s="13" t="s">
        <v>215</v>
      </c>
      <c r="E15" s="13" t="s">
        <v>216</v>
      </c>
      <c r="F15" s="13" t="s">
        <v>217</v>
      </c>
      <c r="G15" s="13" t="s">
        <v>218</v>
      </c>
      <c r="H15" s="13" t="s">
        <v>219</v>
      </c>
    </row>
    <row r="16" customFormat="false" ht="39.75" hidden="false" customHeight="true" outlineLevel="0" collapsed="false">
      <c r="A16" s="32" t="s">
        <v>220</v>
      </c>
      <c r="B16" s="33" t="s">
        <v>221</v>
      </c>
      <c r="C16" s="33" t="s">
        <v>222</v>
      </c>
      <c r="D16" s="33" t="s">
        <v>223</v>
      </c>
      <c r="E16" s="33" t="s">
        <v>224</v>
      </c>
      <c r="F16" s="33" t="s">
        <v>225</v>
      </c>
      <c r="G16" s="33" t="s">
        <v>226</v>
      </c>
      <c r="H16" s="33" t="s">
        <v>227</v>
      </c>
    </row>
    <row r="17" customFormat="false" ht="39.75" hidden="false" customHeight="true" outlineLevel="0" collapsed="false">
      <c r="A17" s="34" t="s">
        <v>228</v>
      </c>
      <c r="B17" s="35" t="s">
        <v>229</v>
      </c>
      <c r="C17" s="35" t="s">
        <v>230</v>
      </c>
      <c r="D17" s="35" t="s">
        <v>231</v>
      </c>
      <c r="E17" s="35" t="s">
        <v>232</v>
      </c>
      <c r="F17" s="35" t="s">
        <v>233</v>
      </c>
      <c r="G17" s="35" t="s">
        <v>234</v>
      </c>
      <c r="H17" s="35" t="s">
        <v>235</v>
      </c>
    </row>
    <row r="18" customFormat="false" ht="39.75" hidden="false" customHeight="true" outlineLevel="0" collapsed="false">
      <c r="A18" s="32" t="s">
        <v>236</v>
      </c>
      <c r="B18" s="33" t="s">
        <v>237</v>
      </c>
      <c r="C18" s="33" t="s">
        <v>238</v>
      </c>
      <c r="D18" s="33" t="s">
        <v>239</v>
      </c>
      <c r="E18" s="33" t="s">
        <v>240</v>
      </c>
      <c r="F18" s="33" t="s">
        <v>241</v>
      </c>
      <c r="G18" s="33" t="s">
        <v>242</v>
      </c>
      <c r="H18" s="33" t="s">
        <v>243</v>
      </c>
    </row>
    <row r="19" customFormat="false" ht="39.75" hidden="false" customHeight="true" outlineLevel="0" collapsed="false">
      <c r="A19" s="34" t="s">
        <v>192</v>
      </c>
      <c r="B19" s="35" t="s">
        <v>244</v>
      </c>
      <c r="C19" s="35" t="s">
        <v>244</v>
      </c>
      <c r="D19" s="35" t="s">
        <v>245</v>
      </c>
      <c r="E19" s="35" t="s">
        <v>246</v>
      </c>
      <c r="F19" s="35" t="s">
        <v>247</v>
      </c>
      <c r="G19" s="35" t="s">
        <v>244</v>
      </c>
      <c r="H19" s="35" t="s">
        <v>244</v>
      </c>
    </row>
    <row r="20" customFormat="false" ht="39.75" hidden="false" customHeight="true" outlineLevel="0" collapsed="false">
      <c r="A20" s="32" t="s">
        <v>248</v>
      </c>
      <c r="B20" s="33" t="s">
        <v>249</v>
      </c>
      <c r="C20" s="33" t="s">
        <v>244</v>
      </c>
      <c r="D20" s="33" t="s">
        <v>244</v>
      </c>
      <c r="E20" s="33" t="s">
        <v>244</v>
      </c>
      <c r="F20" s="33" t="s">
        <v>244</v>
      </c>
      <c r="G20" s="33" t="s">
        <v>244</v>
      </c>
      <c r="H20" s="33" t="s">
        <v>244</v>
      </c>
    </row>
    <row r="22" customFormat="false" ht="9.75" hidden="false" customHeight="true" outlineLevel="0" collapsed="false"/>
    <row r="23" customFormat="false" ht="21.75" hidden="false" customHeight="true" outlineLevel="0" collapsed="false">
      <c r="A23" s="12" t="s">
        <v>250</v>
      </c>
      <c r="B23" s="12"/>
      <c r="C23" s="12"/>
      <c r="D23" s="12"/>
      <c r="E23" s="12"/>
      <c r="F23" s="12"/>
      <c r="G23" s="12"/>
      <c r="H23" s="12"/>
    </row>
    <row r="24" customFormat="false" ht="30" hidden="false" customHeight="true" outlineLevel="0" collapsed="false">
      <c r="A24" s="36" t="s">
        <v>251</v>
      </c>
      <c r="B24" s="33" t="s">
        <v>252</v>
      </c>
      <c r="C24" s="33" t="s">
        <v>253</v>
      </c>
      <c r="D24" s="33" t="s">
        <v>254</v>
      </c>
      <c r="E24" s="33" t="s">
        <v>255</v>
      </c>
      <c r="F24" s="33" t="s">
        <v>184</v>
      </c>
      <c r="G24" s="33" t="s">
        <v>256</v>
      </c>
      <c r="H24" s="33" t="s">
        <v>257</v>
      </c>
    </row>
    <row r="25" customFormat="false" ht="24" hidden="false" customHeight="true" outlineLevel="0" collapsed="false">
      <c r="A25" s="36" t="s">
        <v>258</v>
      </c>
      <c r="B25" s="35" t="s">
        <v>259</v>
      </c>
      <c r="C25" s="35" t="s">
        <v>260</v>
      </c>
      <c r="D25" s="35" t="s">
        <v>261</v>
      </c>
      <c r="E25" s="35" t="s">
        <v>262</v>
      </c>
      <c r="F25" s="35" t="s">
        <v>263</v>
      </c>
      <c r="G25" s="35" t="s">
        <v>264</v>
      </c>
      <c r="H25" s="35" t="s">
        <v>260</v>
      </c>
    </row>
    <row r="26" customFormat="false" ht="30" hidden="false" customHeight="true" outlineLevel="0" collapsed="false">
      <c r="A26" s="36" t="s">
        <v>265</v>
      </c>
      <c r="B26" s="33" t="s">
        <v>266</v>
      </c>
      <c r="C26" s="33" t="s">
        <v>267</v>
      </c>
      <c r="D26" s="33" t="s">
        <v>268</v>
      </c>
      <c r="E26" s="33" t="s">
        <v>269</v>
      </c>
      <c r="F26" s="33" t="s">
        <v>270</v>
      </c>
      <c r="G26" s="33" t="s">
        <v>271</v>
      </c>
      <c r="H26" s="33" t="s">
        <v>272</v>
      </c>
    </row>
    <row r="28" customFormat="false" ht="25.5" hidden="false" customHeight="true" outlineLevel="0" collapsed="false">
      <c r="A28" s="26" t="s">
        <v>273</v>
      </c>
      <c r="B28" s="26"/>
      <c r="C28" s="26"/>
      <c r="D28" s="26"/>
      <c r="E28" s="26"/>
      <c r="F28" s="26"/>
      <c r="G28" s="26"/>
      <c r="H28" s="27" t="n">
        <v>0</v>
      </c>
    </row>
  </sheetData>
  <mergeCells count="6">
    <mergeCell ref="A1:H1"/>
    <mergeCell ref="A2:H2"/>
    <mergeCell ref="A3:H3"/>
    <mergeCell ref="A14:H14"/>
    <mergeCell ref="A23:H23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0" t="s">
        <v>274</v>
      </c>
      <c r="B1" s="10"/>
      <c r="C1" s="10"/>
      <c r="D1" s="10"/>
      <c r="E1" s="10"/>
      <c r="F1" s="10"/>
    </row>
    <row r="2" customFormat="false" ht="21.75" hidden="false" customHeight="true" outlineLevel="0" collapsed="false">
      <c r="A2" s="11" t="s">
        <v>275</v>
      </c>
      <c r="B2" s="11"/>
      <c r="C2" s="11"/>
      <c r="D2" s="11"/>
      <c r="E2" s="11"/>
      <c r="F2" s="11"/>
    </row>
    <row r="4" customFormat="false" ht="25.5" hidden="false" customHeight="true" outlineLevel="0" collapsed="false">
      <c r="A4" s="13" t="s">
        <v>276</v>
      </c>
      <c r="B4" s="13" t="s">
        <v>277</v>
      </c>
    </row>
    <row r="5" customFormat="false" ht="21.75" hidden="false" customHeight="true" outlineLevel="0" collapsed="false">
      <c r="A5" s="6" t="s">
        <v>278</v>
      </c>
      <c r="B5" s="7" t="s">
        <v>279</v>
      </c>
      <c r="C5" s="7"/>
      <c r="D5" s="7"/>
      <c r="E5" s="7"/>
      <c r="F5" s="7"/>
    </row>
    <row r="6" customFormat="false" ht="21.75" hidden="false" customHeight="true" outlineLevel="0" collapsed="false">
      <c r="A6" s="8" t="s">
        <v>280</v>
      </c>
      <c r="B6" s="9" t="s">
        <v>281</v>
      </c>
      <c r="C6" s="9"/>
      <c r="D6" s="9"/>
      <c r="E6" s="9"/>
      <c r="F6" s="9"/>
    </row>
    <row r="7" customFormat="false" ht="21.75" hidden="false" customHeight="true" outlineLevel="0" collapsed="false">
      <c r="A7" s="6" t="s">
        <v>282</v>
      </c>
      <c r="B7" s="7" t="s">
        <v>279</v>
      </c>
      <c r="C7" s="7"/>
      <c r="D7" s="7"/>
      <c r="E7" s="7"/>
      <c r="F7" s="7"/>
    </row>
    <row r="8" customFormat="false" ht="21.75" hidden="false" customHeight="true" outlineLevel="0" collapsed="false">
      <c r="A8" s="8" t="s">
        <v>283</v>
      </c>
      <c r="B8" s="9" t="s">
        <v>284</v>
      </c>
      <c r="C8" s="9"/>
      <c r="D8" s="9"/>
      <c r="E8" s="9"/>
      <c r="F8" s="9"/>
    </row>
    <row r="9" customFormat="false" ht="21.75" hidden="false" customHeight="true" outlineLevel="0" collapsed="false">
      <c r="A9" s="6" t="s">
        <v>285</v>
      </c>
      <c r="B9" s="7" t="s">
        <v>286</v>
      </c>
      <c r="C9" s="7"/>
      <c r="D9" s="7"/>
      <c r="E9" s="7"/>
      <c r="F9" s="7"/>
    </row>
    <row r="10" customFormat="false" ht="21.75" hidden="false" customHeight="true" outlineLevel="0" collapsed="false">
      <c r="A10" s="8" t="s">
        <v>287</v>
      </c>
      <c r="B10" s="9" t="s">
        <v>288</v>
      </c>
      <c r="C10" s="9"/>
      <c r="D10" s="9"/>
      <c r="E10" s="9"/>
      <c r="F10" s="9"/>
    </row>
    <row r="12" customFormat="false" ht="9.75" hidden="false" customHeight="true" outlineLevel="0" collapsed="false"/>
    <row r="13" customFormat="false" ht="25.5" hidden="false" customHeight="true" outlineLevel="0" collapsed="false">
      <c r="A13" s="13" t="s">
        <v>289</v>
      </c>
      <c r="B13" s="13" t="s">
        <v>290</v>
      </c>
      <c r="C13" s="13" t="s">
        <v>291</v>
      </c>
      <c r="D13" s="13" t="s">
        <v>292</v>
      </c>
      <c r="E13" s="13" t="s">
        <v>293</v>
      </c>
      <c r="F13" s="13" t="s">
        <v>294</v>
      </c>
    </row>
    <row r="14" customFormat="false" ht="27.75" hidden="false" customHeight="true" outlineLevel="0" collapsed="false">
      <c r="A14" s="14" t="s">
        <v>295</v>
      </c>
      <c r="B14" s="15" t="s">
        <v>296</v>
      </c>
      <c r="C14" s="16" t="n">
        <v>100</v>
      </c>
      <c r="D14" s="16" t="n">
        <v>8755</v>
      </c>
      <c r="E14" s="16" t="n">
        <f aca="false">C14*D14</f>
        <v>875500</v>
      </c>
      <c r="F14" s="14" t="s">
        <v>297</v>
      </c>
    </row>
    <row r="15" customFormat="false" ht="27.75" hidden="false" customHeight="true" outlineLevel="0" collapsed="false">
      <c r="A15" s="17" t="s">
        <v>298</v>
      </c>
      <c r="B15" s="18" t="s">
        <v>299</v>
      </c>
      <c r="C15" s="19" t="n">
        <v>100</v>
      </c>
      <c r="D15" s="19" t="n">
        <v>8755</v>
      </c>
      <c r="E15" s="19" t="n">
        <f aca="false">C15*D15</f>
        <v>875500</v>
      </c>
      <c r="F15" s="17" t="s">
        <v>300</v>
      </c>
    </row>
    <row r="16" customFormat="false" ht="27.75" hidden="false" customHeight="true" outlineLevel="0" collapsed="false">
      <c r="A16" s="14" t="s">
        <v>301</v>
      </c>
      <c r="B16" s="15" t="s">
        <v>302</v>
      </c>
      <c r="C16" s="16" t="n">
        <v>100</v>
      </c>
      <c r="D16" s="16" t="n">
        <v>8755</v>
      </c>
      <c r="E16" s="16" t="n">
        <f aca="false">C16*D16</f>
        <v>875500</v>
      </c>
      <c r="F16" s="14" t="s">
        <v>303</v>
      </c>
    </row>
    <row r="17" customFormat="false" ht="27.75" hidden="false" customHeight="true" outlineLevel="0" collapsed="false">
      <c r="A17" s="17" t="s">
        <v>304</v>
      </c>
      <c r="B17" s="18" t="s">
        <v>305</v>
      </c>
      <c r="C17" s="19" t="n">
        <v>100</v>
      </c>
      <c r="D17" s="19" t="n">
        <v>8755</v>
      </c>
      <c r="E17" s="19" t="n">
        <f aca="false">C17*D17</f>
        <v>875500</v>
      </c>
      <c r="F17" s="17" t="s">
        <v>306</v>
      </c>
    </row>
    <row r="19" customFormat="false" ht="30" hidden="false" customHeight="true" outlineLevel="0" collapsed="false">
      <c r="A19" s="23" t="s">
        <v>307</v>
      </c>
      <c r="B19" s="23"/>
      <c r="C19" s="24" t="n">
        <f aca="false">SUM(C14:C17)</f>
        <v>400</v>
      </c>
      <c r="D19" s="24" t="n">
        <v>8755</v>
      </c>
      <c r="E19" s="24" t="n">
        <f aca="false">SUM(E14:E17)</f>
        <v>3502000</v>
      </c>
      <c r="F19" s="25"/>
    </row>
  </sheetData>
  <mergeCells count="9">
    <mergeCell ref="A1:F1"/>
    <mergeCell ref="A2:F2"/>
    <mergeCell ref="B5:F5"/>
    <mergeCell ref="B6:F6"/>
    <mergeCell ref="B7:F7"/>
    <mergeCell ref="B8:F8"/>
    <mergeCell ref="B9:F9"/>
    <mergeCell ref="B10:F10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42"/>
  </cols>
  <sheetData>
    <row r="1" customFormat="false" ht="39.75" hidden="false" customHeight="true" outlineLevel="0" collapsed="false">
      <c r="A1" s="37" t="s">
        <v>308</v>
      </c>
      <c r="B1" s="37"/>
      <c r="C1" s="37"/>
      <c r="D1" s="37"/>
      <c r="E1" s="37"/>
    </row>
    <row r="2" customFormat="false" ht="27.75" hidden="false" customHeight="true" outlineLevel="0" collapsed="false">
      <c r="A2" s="12" t="s">
        <v>309</v>
      </c>
      <c r="B2" s="12"/>
      <c r="C2" s="12"/>
      <c r="D2" s="12"/>
      <c r="E2" s="12"/>
    </row>
    <row r="4" customFormat="false" ht="27.75" hidden="false" customHeight="true" outlineLevel="0" collapsed="false">
      <c r="A4" s="13" t="s">
        <v>310</v>
      </c>
      <c r="B4" s="13" t="s">
        <v>311</v>
      </c>
      <c r="C4" s="13" t="s">
        <v>312</v>
      </c>
      <c r="D4" s="13" t="s">
        <v>313</v>
      </c>
      <c r="E4" s="13" t="s">
        <v>294</v>
      </c>
    </row>
    <row r="5" customFormat="false" ht="25.5" hidden="false" customHeight="true" outlineLevel="0" collapsed="false">
      <c r="A5" s="6" t="s">
        <v>314</v>
      </c>
      <c r="B5" s="15" t="s">
        <v>315</v>
      </c>
      <c r="C5" s="38" t="n">
        <v>6099600</v>
      </c>
      <c r="D5" s="39" t="n">
        <f aca="false">C5/C13</f>
        <v>0.265661095257508</v>
      </c>
      <c r="E5" s="15" t="s">
        <v>316</v>
      </c>
    </row>
    <row r="6" customFormat="false" ht="25.5" hidden="false" customHeight="true" outlineLevel="0" collapsed="false">
      <c r="A6" s="8" t="s">
        <v>317</v>
      </c>
      <c r="B6" s="18" t="s">
        <v>318</v>
      </c>
      <c r="C6" s="40" t="n">
        <v>7499600</v>
      </c>
      <c r="D6" s="41" t="n">
        <f aca="false">C6/C13</f>
        <v>0.326636492555775</v>
      </c>
      <c r="E6" s="18" t="s">
        <v>319</v>
      </c>
    </row>
    <row r="7" customFormat="false" ht="25.5" hidden="false" customHeight="true" outlineLevel="0" collapsed="false">
      <c r="A7" s="6" t="s">
        <v>320</v>
      </c>
      <c r="B7" s="15" t="s">
        <v>321</v>
      </c>
      <c r="C7" s="38" t="n">
        <v>1592400</v>
      </c>
      <c r="D7" s="39" t="n">
        <f aca="false">C7/C13</f>
        <v>0.0693551590412577</v>
      </c>
      <c r="E7" s="15" t="s">
        <v>322</v>
      </c>
    </row>
    <row r="8" customFormat="false" ht="25.5" hidden="false" customHeight="true" outlineLevel="0" collapsed="false">
      <c r="A8" s="8" t="s">
        <v>323</v>
      </c>
      <c r="B8" s="18" t="s">
        <v>324</v>
      </c>
      <c r="C8" s="40" t="n">
        <v>2179200</v>
      </c>
      <c r="D8" s="41" t="n">
        <f aca="false">C8/C13</f>
        <v>0.0949125612802743</v>
      </c>
      <c r="E8" s="18" t="s">
        <v>325</v>
      </c>
    </row>
    <row r="9" customFormat="false" ht="25.5" hidden="false" customHeight="true" outlineLevel="0" collapsed="false">
      <c r="A9" s="6" t="s">
        <v>326</v>
      </c>
      <c r="B9" s="15" t="s">
        <v>327</v>
      </c>
      <c r="C9" s="38" t="n">
        <v>0</v>
      </c>
      <c r="D9" s="39" t="n">
        <f aca="false">C9/C13</f>
        <v>0</v>
      </c>
      <c r="E9" s="15" t="s">
        <v>328</v>
      </c>
    </row>
    <row r="10" customFormat="false" ht="25.5" hidden="false" customHeight="true" outlineLevel="0" collapsed="false">
      <c r="A10" s="8" t="s">
        <v>329</v>
      </c>
      <c r="B10" s="18" t="s">
        <v>330</v>
      </c>
      <c r="C10" s="40" t="n">
        <v>3502000</v>
      </c>
      <c r="D10" s="41" t="n">
        <f aca="false">C10/C13</f>
        <v>0.152525600956094</v>
      </c>
      <c r="E10" s="18" t="s">
        <v>331</v>
      </c>
    </row>
    <row r="11" customFormat="false" ht="25.5" hidden="false" customHeight="true" outlineLevel="0" collapsed="false">
      <c r="A11" s="6" t="s">
        <v>332</v>
      </c>
      <c r="B11" s="15" t="s">
        <v>333</v>
      </c>
      <c r="C11" s="38" t="n">
        <f aca="false">SUM(C5:C10)*0.1</f>
        <v>2087280</v>
      </c>
      <c r="D11" s="39" t="n">
        <f aca="false">C11/C13</f>
        <v>0.0909090909090909</v>
      </c>
      <c r="E11" s="15" t="s">
        <v>334</v>
      </c>
    </row>
    <row r="13" customFormat="false" ht="36" hidden="false" customHeight="true" outlineLevel="0" collapsed="false">
      <c r="A13" s="37" t="s">
        <v>335</v>
      </c>
      <c r="B13" s="37"/>
      <c r="C13" s="42" t="n">
        <f aca="false">SUM(C5:C12)</f>
        <v>22960080</v>
      </c>
      <c r="D13" s="43" t="n">
        <v>1</v>
      </c>
      <c r="E13" s="44" t="s">
        <v>336</v>
      </c>
    </row>
    <row r="15" customFormat="false" ht="30" hidden="false" customHeight="true" outlineLevel="0" collapsed="false">
      <c r="A15" s="45" t="s">
        <v>337</v>
      </c>
      <c r="B15" s="45"/>
      <c r="C15" s="45"/>
      <c r="D15" s="45"/>
      <c r="E15" s="45"/>
    </row>
    <row r="17" customFormat="false" ht="25.5" hidden="false" customHeight="true" outlineLevel="0" collapsed="false">
      <c r="A17" s="12" t="s">
        <v>2</v>
      </c>
      <c r="B17" s="12"/>
      <c r="C17" s="12"/>
      <c r="D17" s="12"/>
      <c r="E17" s="12"/>
    </row>
    <row r="18" customFormat="false" ht="21.75" hidden="false" customHeight="true" outlineLevel="0" collapsed="false">
      <c r="A18" s="46" t="s">
        <v>3</v>
      </c>
      <c r="B18" s="7" t="s">
        <v>338</v>
      </c>
      <c r="C18" s="7"/>
      <c r="D18" s="7"/>
      <c r="E18" s="7"/>
    </row>
    <row r="19" customFormat="false" ht="21.75" hidden="false" customHeight="true" outlineLevel="0" collapsed="false">
      <c r="A19" s="47" t="s">
        <v>4</v>
      </c>
      <c r="B19" s="9" t="s">
        <v>339</v>
      </c>
      <c r="C19" s="9"/>
      <c r="D19" s="9"/>
      <c r="E19" s="9"/>
    </row>
    <row r="20" customFormat="false" ht="21.75" hidden="false" customHeight="true" outlineLevel="0" collapsed="false">
      <c r="A20" s="46" t="s">
        <v>5</v>
      </c>
      <c r="B20" s="7" t="s">
        <v>302</v>
      </c>
      <c r="C20" s="7"/>
      <c r="D20" s="7"/>
      <c r="E20" s="7"/>
    </row>
    <row r="21" customFormat="false" ht="21.75" hidden="false" customHeight="true" outlineLevel="0" collapsed="false">
      <c r="A21" s="47" t="s">
        <v>6</v>
      </c>
      <c r="B21" s="9" t="s">
        <v>305</v>
      </c>
      <c r="C21" s="9"/>
      <c r="D21" s="9"/>
      <c r="E21" s="9"/>
    </row>
  </sheetData>
  <mergeCells count="9">
    <mergeCell ref="A1:E1"/>
    <mergeCell ref="A2:E2"/>
    <mergeCell ref="A13:B13"/>
    <mergeCell ref="A15:E15"/>
    <mergeCell ref="A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2026-06-27T01:30:45Z</dcterms:created>
  <dc:creator>openpyxl</dc:creator>
  <dc:description/>
  <dc:language>en-US</dc:language>
  <cp:lastModifiedBy/>
  <dcterms:modified xsi:type="dcterms:W3CDTF">2026-06-27T01:30:45Z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